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hidePivotFieldList="1" defaultThemeVersion="202300"/>
  <mc:AlternateContent xmlns:mc="http://schemas.openxmlformats.org/markup-compatibility/2006">
    <mc:Choice Requires="x15">
      <x15ac:absPath xmlns:x15ac="http://schemas.microsoft.com/office/spreadsheetml/2010/11/ac" url="/Users/vivian/Desktop/ONLINE CLASS TEACHING PROJECT/DATA:INFORMATION ANALYSIS/WEEKLY LESSON MATERIALS/Intotek-Bootcamp-Projects/Project1-Care-Workforce-Dashboard/dataset/"/>
    </mc:Choice>
  </mc:AlternateContent>
  <xr:revisionPtr revIDLastSave="0" documentId="13_ncr:1_{DFD0D6A2-CF2D-2E49-B652-5894E6BB9564}" xr6:coauthVersionLast="47" xr6:coauthVersionMax="47" xr10:uidLastSave="{00000000-0000-0000-0000-000000000000}"/>
  <bookViews>
    <workbookView xWindow="3720" yWindow="1120" windowWidth="22640" windowHeight="15680" activeTab="2" xr2:uid="{F066A8F1-8451-0540-9354-80894D60463B}"/>
  </bookViews>
  <sheets>
    <sheet name="Pivot_Role" sheetId="3" r:id="rId1"/>
    <sheet name="Pivot_Overtime" sheetId="7" r:id="rId2"/>
    <sheet name="Pivot_Overtime_Level" sheetId="10" r:id="rId3"/>
    <sheet name="RawData" sheetId="2" r:id="rId4"/>
    <sheet name="Analysis" sheetId="1" r:id="rId5"/>
    <sheet name="Dashboard" sheetId="9" r:id="rId6"/>
  </sheets>
  <definedNames>
    <definedName name="ExternalData_1" localSheetId="3" hidden="1">'RawData'!$A$1:$L$121</definedName>
    <definedName name="Slicer_ShiftType_Clean">#N/A</definedName>
  </definedNames>
  <calcPr calcId="191029"/>
  <pivotCaches>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9" l="1"/>
  <c r="B12" i="9"/>
  <c r="B11" i="9"/>
  <c r="B10" i="9"/>
  <c r="B9" i="9"/>
  <c r="B8" i="9"/>
  <c r="B7" i="9"/>
  <c r="D6" i="1"/>
  <c r="D7" i="1"/>
  <c r="D4" i="1"/>
  <c r="R2" i="2"/>
  <c r="D8" i="1" s="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Q2" i="2"/>
  <c r="Q3" i="2"/>
  <c r="D10" i="1" s="1"/>
  <c r="Q4" i="2"/>
  <c r="Q5" i="2"/>
  <c r="Q6" i="2"/>
  <c r="D5" i="1" s="1"/>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N2" i="2"/>
  <c r="D9" i="1" s="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BB0E3C-B337-7346-BCDC-C928CBEBF087}" keepAlive="1" name="Query - Week3_Project1_Care_Workforce_Dataset (1)" description="Connection to the 'Week3_Project1_Care_Workforce_Dataset (1)' query in the workbook." type="5" refreshedVersion="8" background="1" saveData="1">
    <dbPr connection="Provider=Microsoft.Mashup.OleDb.1;Data Source=$Workbook$;Location=&quot;Week3_Project1_Care_Workforce_Dataset (1)&quot;;Extended Properties=&quot;&quot;" command="SELECT * FROM [Week3_Project1_Care_Workforce_Dataset (1)]"/>
  </connection>
</connections>
</file>

<file path=xl/sharedStrings.xml><?xml version="1.0" encoding="utf-8"?>
<sst xmlns="http://schemas.openxmlformats.org/spreadsheetml/2006/main" count="785" uniqueCount="71">
  <si>
    <t>StaffID</t>
  </si>
  <si>
    <t>Role</t>
  </si>
  <si>
    <t>Band</t>
  </si>
  <si>
    <t>Department</t>
  </si>
  <si>
    <t>Location</t>
  </si>
  <si>
    <t>ShiftType</t>
  </si>
  <si>
    <t>ContractType</t>
  </si>
  <si>
    <t>HoursWorked</t>
  </si>
  <si>
    <t>OvertimeHours</t>
  </si>
  <si>
    <t>AbsenceDays</t>
  </si>
  <si>
    <t>LateDays</t>
  </si>
  <si>
    <t>StartDate</t>
  </si>
  <si>
    <t>Team Leader</t>
  </si>
  <si>
    <t>Band 6</t>
  </si>
  <si>
    <t>Residential</t>
  </si>
  <si>
    <t>Leeds</t>
  </si>
  <si>
    <t>Night</t>
  </si>
  <si>
    <t>Full-time</t>
  </si>
  <si>
    <t>Nurse</t>
  </si>
  <si>
    <t>Band 5</t>
  </si>
  <si>
    <t>Rehabilitation</t>
  </si>
  <si>
    <t>Support Worker</t>
  </si>
  <si>
    <t>Band 2</t>
  </si>
  <si>
    <t>Birmingham</t>
  </si>
  <si>
    <t>Day</t>
  </si>
  <si>
    <t>Manager</t>
  </si>
  <si>
    <t>Band 7</t>
  </si>
  <si>
    <t>Home Care</t>
  </si>
  <si>
    <t>Part-time</t>
  </si>
  <si>
    <t xml:space="preserve"> night </t>
  </si>
  <si>
    <t>Manchester</t>
  </si>
  <si>
    <t>Care Assistant</t>
  </si>
  <si>
    <t>London</t>
  </si>
  <si>
    <t>Weekend</t>
  </si>
  <si>
    <t>Dementia Care</t>
  </si>
  <si>
    <t>Bristol</t>
  </si>
  <si>
    <t>Senior Carer</t>
  </si>
  <si>
    <t>Band 3</t>
  </si>
  <si>
    <t>Unknown</t>
  </si>
  <si>
    <t>ShiftType_Clean</t>
  </si>
  <si>
    <t>HoursWorked_Clean</t>
  </si>
  <si>
    <t>StartDate_Clean</t>
  </si>
  <si>
    <t>WorkType</t>
  </si>
  <si>
    <t>RiskFlag</t>
  </si>
  <si>
    <t>OvertimeLevel</t>
  </si>
  <si>
    <t>TotalStaff</t>
  </si>
  <si>
    <t>Staff At Risk</t>
  </si>
  <si>
    <t>Total Overtime Hours</t>
  </si>
  <si>
    <t>Average Absence Days</t>
  </si>
  <si>
    <t>High Overtime Level</t>
  </si>
  <si>
    <t>Perecntage of Staff at Risk</t>
  </si>
  <si>
    <t>KPI Metric</t>
  </si>
  <si>
    <t>Value</t>
  </si>
  <si>
    <t>Average Hours Worked</t>
  </si>
  <si>
    <t>Row Labels</t>
  </si>
  <si>
    <t>Grand Total</t>
  </si>
  <si>
    <t>Count of StaffID</t>
  </si>
  <si>
    <t>Sum of OvertimeHours</t>
  </si>
  <si>
    <t>Role Labels</t>
  </si>
  <si>
    <t>Staff Count by Role Pivot Table</t>
  </si>
  <si>
    <t>Key Insights</t>
  </si>
  <si>
    <t xml:space="preserve">Insight 1: </t>
  </si>
  <si>
    <t xml:space="preserve">Insight 2: </t>
  </si>
  <si>
    <t xml:space="preserve">Insight 3: </t>
  </si>
  <si>
    <t>Overtime is highest in the Rehabilitation department .</t>
  </si>
  <si>
    <t>The number of staff flagged ‘At Risk’ is 68, 
which suggests attendance/discipline issues.”</t>
  </si>
  <si>
    <t>KPI Insignts</t>
  </si>
  <si>
    <t>High</t>
  </si>
  <si>
    <t>Normal</t>
  </si>
  <si>
    <t>Support Workers and Team Leader make up the third largest portion of staff.</t>
  </si>
  <si>
    <t>Percantage of Staff at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</si>
</sst>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rgb="FFFF0000"/>
      <name val="Aptos Narrow"/>
      <scheme val="minor"/>
    </font>
    <font>
      <b/>
      <sz val="18"/>
      <color rgb="FFFF0000"/>
      <name val="Aptos Narrow"/>
      <scheme val="minor"/>
    </font>
    <font>
      <sz val="20"/>
      <color theme="1"/>
      <name val="Aptos Narrow"/>
      <family val="2"/>
      <scheme val="minor"/>
    </font>
    <font>
      <b/>
      <sz val="20"/>
      <color rgb="FFFF0000"/>
      <name val="Aptos Narrow"/>
      <scheme val="minor"/>
    </font>
    <font>
      <b/>
      <sz val="16"/>
      <color rgb="FF002060"/>
      <name val="Aptos Narrow"/>
      <scheme val="minor"/>
    </font>
    <font>
      <sz val="14"/>
      <color theme="1"/>
      <name val="Aptos Narrow"/>
      <family val="2"/>
      <scheme val="minor"/>
    </font>
    <font>
      <sz val="18"/>
      <color theme="1"/>
      <name val="Aptos Narrow"/>
      <family val="2"/>
      <scheme val="minor"/>
    </font>
    <font>
      <sz val="20"/>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14" fontId="0" fillId="0" borderId="0" xfId="0" applyNumberFormat="1"/>
    <xf numFmtId="0" fontId="0" fillId="0" borderId="0" xfId="0" quotePrefix="1"/>
    <xf numFmtId="10" fontId="0" fillId="0" borderId="0" xfId="0" applyNumberFormat="1"/>
    <xf numFmtId="0" fontId="1" fillId="0" borderId="0" xfId="0" applyFont="1"/>
    <xf numFmtId="0" fontId="0" fillId="0" borderId="0" xfId="0" pivotButton="1"/>
    <xf numFmtId="0" fontId="0" fillId="0" borderId="0" xfId="0" applyAlignment="1">
      <alignment horizontal="left"/>
    </xf>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horizontal="right"/>
    </xf>
    <xf numFmtId="0" fontId="6" fillId="0" borderId="0" xfId="0" applyFont="1"/>
    <xf numFmtId="0" fontId="6" fillId="0" borderId="0" xfId="0" applyFont="1" applyAlignment="1">
      <alignment wrapText="1"/>
    </xf>
    <xf numFmtId="0" fontId="6" fillId="0" borderId="0" xfId="0" applyFont="1" applyAlignment="1">
      <alignment horizontal="left" wrapText="1"/>
    </xf>
    <xf numFmtId="0" fontId="7" fillId="0" borderId="0" xfId="0" applyFont="1"/>
    <xf numFmtId="0" fontId="3" fillId="0" borderId="0" xfId="0" pivotButton="1" applyFont="1"/>
    <xf numFmtId="0" fontId="3" fillId="0" borderId="0" xfId="0" applyFont="1" applyAlignment="1">
      <alignment horizontal="left"/>
    </xf>
    <xf numFmtId="0" fontId="7" fillId="0" borderId="0" xfId="0" pivotButton="1" applyFont="1"/>
    <xf numFmtId="0" fontId="7" fillId="0" borderId="0" xfId="0" applyFont="1" applyAlignment="1">
      <alignment horizontal="left"/>
    </xf>
    <xf numFmtId="0" fontId="8" fillId="0" borderId="0" xfId="0" applyFont="1"/>
    <xf numFmtId="0" fontId="4" fillId="0" borderId="0" xfId="0" applyFont="1" applyAlignment="1">
      <alignment horizontal="right"/>
    </xf>
    <xf numFmtId="0" fontId="8" fillId="0" borderId="0" xfId="0" quotePrefix="1" applyFont="1"/>
    <xf numFmtId="9" fontId="8" fillId="0" borderId="0" xfId="0" applyNumberFormat="1" applyFont="1"/>
    <xf numFmtId="1" fontId="8" fillId="0" borderId="0" xfId="0" applyNumberFormat="1" applyFont="1"/>
  </cellXfs>
  <cellStyles count="1">
    <cellStyle name="Normal" xfId="0" builtinId="0"/>
  </cellStyles>
  <dxfs count="26">
    <dxf>
      <font>
        <sz val="18"/>
      </font>
    </dxf>
    <dxf>
      <font>
        <sz val="18"/>
      </font>
    </dxf>
    <dxf>
      <font>
        <sz val="18"/>
      </font>
    </dxf>
    <dxf>
      <font>
        <sz val="18"/>
      </font>
    </dxf>
    <dxf>
      <font>
        <sz val="18"/>
      </font>
    </dxf>
    <dxf>
      <font>
        <sz val="18"/>
      </font>
    </dxf>
    <dxf>
      <font>
        <sz val="18"/>
      </font>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sz val="20"/>
      </font>
    </dxf>
    <dxf>
      <font>
        <sz val="20"/>
      </font>
    </dxf>
    <dxf>
      <font>
        <sz val="20"/>
      </font>
    </dxf>
    <dxf>
      <font>
        <sz val="20"/>
      </font>
    </dxf>
    <dxf>
      <font>
        <sz val="20"/>
      </font>
    </dxf>
    <dxf>
      <font>
        <sz val="20"/>
      </font>
    </dxf>
  </dxfs>
  <tableStyles count="0" defaultTableStyle="TableStyleMedium2" defaultPivotStyle="PivotStyleLight16"/>
  <colors>
    <mruColors>
      <color rgb="FFF9E8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[Project1_CareWorkforce_Dashboard.xlsx]Pivot_Role!PivotTable1</c:name>
    <c:fmtId val="2"/>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GB" sz="1400" b="1" i="0" u="none" strike="noStrike" baseline="0">
                <a:solidFill>
                  <a:srgbClr val="FF0000"/>
                </a:solidFill>
                <a:effectLst/>
              </a:rPr>
              <a:t>Staff Count by Role</a:t>
            </a:r>
            <a:endParaRPr lang="en-US" baseline="0">
              <a:solidFill>
                <a:srgbClr val="FF0000"/>
              </a:solidFill>
            </a:endParaRPr>
          </a:p>
        </c:rich>
      </c:tx>
      <c:layout>
        <c:manualLayout>
          <c:xMode val="edge"/>
          <c:yMode val="edge"/>
          <c:x val="0.3249512248468941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6071741032371"/>
          <c:y val="0.13618037328667251"/>
          <c:w val="0.71842366579177608"/>
          <c:h val="0.416470180810732"/>
        </c:manualLayout>
      </c:layout>
      <c:bar3DChart>
        <c:barDir val="col"/>
        <c:grouping val="clustered"/>
        <c:varyColors val="0"/>
        <c:ser>
          <c:idx val="0"/>
          <c:order val="0"/>
          <c:tx>
            <c:strRef>
              <c:f>Pivot_Role!$D$6</c:f>
              <c:strCache>
                <c:ptCount val="1"/>
                <c:pt idx="0">
                  <c:v>Total</c:v>
                </c:pt>
              </c:strCache>
            </c:strRef>
          </c:tx>
          <c:spPr>
            <a:solidFill>
              <a:schemeClr val="accent1"/>
            </a:solidFill>
            <a:ln>
              <a:noFill/>
            </a:ln>
            <a:effectLst/>
            <a:sp3d/>
          </c:spPr>
          <c:invertIfNegative val="0"/>
          <c:cat>
            <c:strRef>
              <c:f>Pivot_Role!$C$7:$C$12</c:f>
              <c:strCache>
                <c:ptCount val="5"/>
                <c:pt idx="0">
                  <c:v>Care Assistant</c:v>
                </c:pt>
                <c:pt idx="1">
                  <c:v>Manager</c:v>
                </c:pt>
                <c:pt idx="2">
                  <c:v>Nurse</c:v>
                </c:pt>
                <c:pt idx="3">
                  <c:v>Support Worker</c:v>
                </c:pt>
                <c:pt idx="4">
                  <c:v>Team Leader</c:v>
                </c:pt>
              </c:strCache>
            </c:strRef>
          </c:cat>
          <c:val>
            <c:numRef>
              <c:f>Pivot_Role!$D$7:$D$12</c:f>
              <c:numCache>
                <c:formatCode>General</c:formatCode>
                <c:ptCount val="5"/>
                <c:pt idx="0">
                  <c:v>8</c:v>
                </c:pt>
                <c:pt idx="1">
                  <c:v>7</c:v>
                </c:pt>
                <c:pt idx="2">
                  <c:v>4</c:v>
                </c:pt>
                <c:pt idx="3">
                  <c:v>6</c:v>
                </c:pt>
                <c:pt idx="4">
                  <c:v>6</c:v>
                </c:pt>
              </c:numCache>
            </c:numRef>
          </c:val>
          <c:extLst>
            <c:ext xmlns:c16="http://schemas.microsoft.com/office/drawing/2014/chart" uri="{C3380CC4-5D6E-409C-BE32-E72D297353CC}">
              <c16:uniqueId val="{00000000-52B9-304C-B4A9-019CD16E416C}"/>
            </c:ext>
          </c:extLst>
        </c:ser>
        <c:dLbls>
          <c:showLegendKey val="0"/>
          <c:showVal val="0"/>
          <c:showCatName val="0"/>
          <c:showSerName val="0"/>
          <c:showPercent val="0"/>
          <c:showBubbleSize val="0"/>
        </c:dLbls>
        <c:gapWidth val="55"/>
        <c:gapDepth val="87"/>
        <c:shape val="box"/>
        <c:axId val="1723983216"/>
        <c:axId val="1724179264"/>
        <c:axId val="0"/>
      </c:bar3DChart>
      <c:catAx>
        <c:axId val="172398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FF0000"/>
                </a:solidFill>
                <a:latin typeface="+mn-lt"/>
                <a:ea typeface="+mn-ea"/>
                <a:cs typeface="+mn-cs"/>
              </a:defRPr>
            </a:pPr>
            <a:endParaRPr lang="en-US"/>
          </a:p>
        </c:txPr>
        <c:crossAx val="1724179264"/>
        <c:crosses val="autoZero"/>
        <c:auto val="1"/>
        <c:lblAlgn val="ctr"/>
        <c:lblOffset val="100"/>
        <c:noMultiLvlLbl val="0"/>
      </c:catAx>
      <c:valAx>
        <c:axId val="172417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1" u="none" strike="noStrike" kern="1200" baseline="0">
                <a:solidFill>
                  <a:srgbClr val="FF0000"/>
                </a:solidFill>
                <a:latin typeface="+mn-lt"/>
                <a:ea typeface="+mn-ea"/>
                <a:cs typeface="+mn-cs"/>
              </a:defRPr>
            </a:pPr>
            <a:endParaRPr lang="en-US"/>
          </a:p>
        </c:txPr>
        <c:crossAx val="1723983216"/>
        <c:crosses val="autoZero"/>
        <c:crossBetween val="between"/>
      </c:valAx>
      <c:spPr>
        <a:noFill/>
        <a:ln w="15875" cap="rnd">
          <a:solidFill>
            <a:srgbClr val="FF0000"/>
          </a:solid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[Project1_CareWorkforce_Dashboard.xlsx]Pivot_Overtime!PivotTable2</c:name>
    <c:fmtId val="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GB" sz="2000" b="1" i="0" u="none" strike="noStrike" baseline="0">
                <a:effectLst/>
              </a:rPr>
              <a:t>Total Overtime Hours by Department</a:t>
            </a:r>
            <a:endParaRPr lang="en-US" sz="2000" baseline="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843354671886077E-2"/>
          <c:y val="0.13231814152370025"/>
          <c:w val="0.79470241248350215"/>
          <c:h val="0.70396177712885222"/>
        </c:manualLayout>
      </c:layout>
      <c:barChart>
        <c:barDir val="col"/>
        <c:grouping val="clustered"/>
        <c:varyColors val="0"/>
        <c:ser>
          <c:idx val="0"/>
          <c:order val="0"/>
          <c:tx>
            <c:strRef>
              <c:f>Pivot_Overtime!$G$5</c:f>
              <c:strCache>
                <c:ptCount val="1"/>
                <c:pt idx="0">
                  <c:v>Total</c:v>
                </c:pt>
              </c:strCache>
            </c:strRef>
          </c:tx>
          <c:spPr>
            <a:solidFill>
              <a:schemeClr val="accent1"/>
            </a:solidFill>
            <a:ln>
              <a:noFill/>
            </a:ln>
            <a:effectLst/>
          </c:spPr>
          <c:invertIfNegative val="0"/>
          <c:cat>
            <c:strRef>
              <c:f>Pivot_Overtime!$F$6:$F$10</c:f>
              <c:strCache>
                <c:ptCount val="4"/>
                <c:pt idx="0">
                  <c:v>Dementia Care</c:v>
                </c:pt>
                <c:pt idx="1">
                  <c:v>Home Care</c:v>
                </c:pt>
                <c:pt idx="2">
                  <c:v>Rehabilitation</c:v>
                </c:pt>
                <c:pt idx="3">
                  <c:v>Residential</c:v>
                </c:pt>
              </c:strCache>
            </c:strRef>
          </c:cat>
          <c:val>
            <c:numRef>
              <c:f>Pivot_Overtime!$G$6:$G$10</c:f>
              <c:numCache>
                <c:formatCode>General</c:formatCode>
                <c:ptCount val="4"/>
                <c:pt idx="0">
                  <c:v>81</c:v>
                </c:pt>
                <c:pt idx="1">
                  <c:v>65</c:v>
                </c:pt>
                <c:pt idx="2">
                  <c:v>77</c:v>
                </c:pt>
                <c:pt idx="3">
                  <c:v>51</c:v>
                </c:pt>
              </c:numCache>
            </c:numRef>
          </c:val>
          <c:extLst>
            <c:ext xmlns:c16="http://schemas.microsoft.com/office/drawing/2014/chart" uri="{C3380CC4-5D6E-409C-BE32-E72D297353CC}">
              <c16:uniqueId val="{00000000-1E0E-D346-858B-D9A6F0B9BB71}"/>
            </c:ext>
          </c:extLst>
        </c:ser>
        <c:dLbls>
          <c:showLegendKey val="0"/>
          <c:showVal val="0"/>
          <c:showCatName val="0"/>
          <c:showSerName val="0"/>
          <c:showPercent val="0"/>
          <c:showBubbleSize val="0"/>
        </c:dLbls>
        <c:gapWidth val="219"/>
        <c:overlap val="-27"/>
        <c:axId val="61973951"/>
        <c:axId val="2066353280"/>
      </c:barChart>
      <c:catAx>
        <c:axId val="6197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crossAx val="2066353280"/>
        <c:crosses val="autoZero"/>
        <c:auto val="1"/>
        <c:lblAlgn val="ctr"/>
        <c:lblOffset val="100"/>
        <c:noMultiLvlLbl val="0"/>
      </c:catAx>
      <c:valAx>
        <c:axId val="206635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9050">
            <a:solidFill>
              <a:schemeClr val="tx1">
                <a:lumMod val="15000"/>
                <a:lumOff val="85000"/>
                <a:alpha val="24000"/>
              </a:schemeClr>
            </a:solid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1973951"/>
        <c:crosses val="autoZero"/>
        <c:crossBetween val="between"/>
      </c:valAx>
      <c:spPr>
        <a:noFill/>
        <a:ln cap="rnd">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effectLst/>
      </c:spPr>
    </c:plotArea>
    <c:legend>
      <c:legendPos val="r"/>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525" cap="flat" cmpd="sng" algn="ct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[Project1_CareWorkforce_Dashboard.xlsx]Pivot_Overtime_Level!PivotTable4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130" b="1" i="0" u="none" strike="noStrike" kern="1200" spc="0" baseline="0">
                <a:solidFill>
                  <a:srgbClr val="FFFF00"/>
                </a:solidFill>
                <a:latin typeface="+mn-lt"/>
                <a:ea typeface="+mn-ea"/>
                <a:cs typeface="+mn-cs"/>
              </a:defRPr>
            </a:pPr>
            <a:r>
              <a:rPr lang="en-GB" sz="2130" b="1" baseline="0">
                <a:solidFill>
                  <a:srgbClr val="FFFF00"/>
                </a:solidFill>
                <a:effectLst/>
              </a:rPr>
              <a:t>Overtime Level Distribution</a:t>
            </a:r>
          </a:p>
        </c:rich>
      </c:tx>
      <c:layout>
        <c:manualLayout>
          <c:xMode val="edge"/>
          <c:yMode val="edge"/>
          <c:x val="0.18682079888077774"/>
          <c:y val="5.0756359781950332E-2"/>
        </c:manualLayout>
      </c:layout>
      <c:overlay val="0"/>
      <c:spPr>
        <a:noFill/>
        <a:ln>
          <a:solidFill>
            <a:srgbClr val="FFFF00"/>
          </a:solid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130" b="1"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dLbl>
          <c:idx val="0"/>
          <c:layout>
            <c:manualLayout>
              <c:x val="0.21742713906751454"/>
              <c:y val="-0.15331161191058021"/>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664018079744587"/>
                  <c:h val="0.11916666666666667"/>
                </c:manualLayout>
              </c15:layout>
            </c:ext>
          </c:extLst>
        </c:dLbl>
      </c:pivotFmt>
      <c:pivotFmt>
        <c:idx val="2"/>
        <c:spPr>
          <a:solidFill>
            <a:schemeClr val="accent1"/>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pivotFmt>
    </c:pivotFmts>
    <c:plotArea>
      <c:layout/>
      <c:pieChart>
        <c:varyColors val="1"/>
        <c:ser>
          <c:idx val="0"/>
          <c:order val="0"/>
          <c:tx>
            <c:strRef>
              <c:f>Pivot_Overtime_Level!$B$3</c:f>
              <c:strCache>
                <c:ptCount val="1"/>
                <c:pt idx="0">
                  <c:v>Total</c:v>
                </c:pt>
              </c:strCache>
            </c:strRef>
          </c:tx>
          <c:spPr>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dPt>
            <c:idx val="0"/>
            <c:bubble3D val="0"/>
            <c:spPr>
              <a:solidFill>
                <a:schemeClr val="accent1"/>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extLst>
              <c:ext xmlns:c16="http://schemas.microsoft.com/office/drawing/2014/chart" uri="{C3380CC4-5D6E-409C-BE32-E72D297353CC}">
                <c16:uniqueId val="{00000001-BBE3-8F4B-8889-08A49B4506FB}"/>
              </c:ext>
            </c:extLst>
          </c:dPt>
          <c:dPt>
            <c:idx val="1"/>
            <c:bubble3D val="0"/>
            <c:spPr>
              <a:solidFill>
                <a:schemeClr val="accent2"/>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extLst>
              <c:ext xmlns:c16="http://schemas.microsoft.com/office/drawing/2014/chart" uri="{C3380CC4-5D6E-409C-BE32-E72D297353CC}">
                <c16:uniqueId val="{00000002-852E-6048-A240-5B3925ABD92C}"/>
              </c:ext>
            </c:extLst>
          </c:dPt>
          <c:dLbls>
            <c:dLbl>
              <c:idx val="1"/>
              <c:layout>
                <c:manualLayout>
                  <c:x val="0.21742713906751454"/>
                  <c:y val="-0.15331161191058021"/>
                </c:manualLayout>
              </c:layout>
              <c:showLegendKey val="0"/>
              <c:showVal val="1"/>
              <c:showCatName val="1"/>
              <c:showSerName val="0"/>
              <c:showPercent val="1"/>
              <c:showBubbleSize val="0"/>
              <c:extLst>
                <c:ext xmlns:c15="http://schemas.microsoft.com/office/drawing/2012/chart" uri="{CE6537A1-D6FC-4f65-9D91-7224C49458BB}">
                  <c15:layout>
                    <c:manualLayout>
                      <c:w val="0.20664018079744587"/>
                      <c:h val="0.11916666666666667"/>
                    </c:manualLayout>
                  </c15:layout>
                </c:ext>
                <c:ext xmlns:c16="http://schemas.microsoft.com/office/drawing/2014/chart" uri="{C3380CC4-5D6E-409C-BE32-E72D297353CC}">
                  <c16:uniqueId val="{00000002-852E-6048-A240-5B3925ABD92C}"/>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Pivot_Overtime_Level!$A$4:$A$6</c:f>
              <c:strCache>
                <c:ptCount val="2"/>
                <c:pt idx="0">
                  <c:v>High</c:v>
                </c:pt>
                <c:pt idx="1">
                  <c:v>Normal</c:v>
                </c:pt>
              </c:strCache>
            </c:strRef>
          </c:cat>
          <c:val>
            <c:numRef>
              <c:f>Pivot_Overtime_Level!$B$4:$B$6</c:f>
              <c:numCache>
                <c:formatCode>General</c:formatCode>
                <c:ptCount val="2"/>
                <c:pt idx="0">
                  <c:v>14</c:v>
                </c:pt>
                <c:pt idx="1">
                  <c:v>17</c:v>
                </c:pt>
              </c:numCache>
            </c:numRef>
          </c:val>
          <c:extLst>
            <c:ext xmlns:c16="http://schemas.microsoft.com/office/drawing/2014/chart" uri="{C3380CC4-5D6E-409C-BE32-E72D297353CC}">
              <c16:uniqueId val="{00000000-852E-6048-A240-5B3925ABD92C}"/>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2441801157833994"/>
          <c:y val="0.85747954801104409"/>
          <c:w val="0.43126151784218464"/>
          <c:h val="8.407889354739749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[Project1_CareWorkforce_Dashboard.xlsx]Pivot_Role!PivotTable1</c:name>
    <c:fmtId val="8"/>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GB" sz="1400" b="1" i="0" u="none" strike="noStrike" baseline="0">
                <a:solidFill>
                  <a:srgbClr val="FF0000"/>
                </a:solidFill>
                <a:effectLst/>
              </a:rPr>
              <a:t>Staff Count by Role</a:t>
            </a:r>
            <a:endParaRPr lang="en-US" baseline="0">
              <a:solidFill>
                <a:srgbClr val="FF0000"/>
              </a:solidFill>
            </a:endParaRPr>
          </a:p>
        </c:rich>
      </c:tx>
      <c:layout>
        <c:manualLayout>
          <c:xMode val="edge"/>
          <c:yMode val="edge"/>
          <c:x val="0.3249512248468941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6071741032371"/>
          <c:y val="0.13618037328667251"/>
          <c:w val="0.71842366579177608"/>
          <c:h val="0.416470180810732"/>
        </c:manualLayout>
      </c:layout>
      <c:bar3DChart>
        <c:barDir val="col"/>
        <c:grouping val="clustered"/>
        <c:varyColors val="0"/>
        <c:ser>
          <c:idx val="0"/>
          <c:order val="0"/>
          <c:tx>
            <c:strRef>
              <c:f>Pivot_Role!$D$6</c:f>
              <c:strCache>
                <c:ptCount val="1"/>
                <c:pt idx="0">
                  <c:v>Total</c:v>
                </c:pt>
              </c:strCache>
            </c:strRef>
          </c:tx>
          <c:spPr>
            <a:solidFill>
              <a:schemeClr val="accent1"/>
            </a:solidFill>
            <a:ln>
              <a:noFill/>
            </a:ln>
            <a:effectLst/>
            <a:sp3d/>
          </c:spPr>
          <c:invertIfNegative val="0"/>
          <c:cat>
            <c:strRef>
              <c:f>Pivot_Role!$C$7:$C$12</c:f>
              <c:strCache>
                <c:ptCount val="5"/>
                <c:pt idx="0">
                  <c:v>Care Assistant</c:v>
                </c:pt>
                <c:pt idx="1">
                  <c:v>Manager</c:v>
                </c:pt>
                <c:pt idx="2">
                  <c:v>Nurse</c:v>
                </c:pt>
                <c:pt idx="3">
                  <c:v>Support Worker</c:v>
                </c:pt>
                <c:pt idx="4">
                  <c:v>Team Leader</c:v>
                </c:pt>
              </c:strCache>
            </c:strRef>
          </c:cat>
          <c:val>
            <c:numRef>
              <c:f>Pivot_Role!$D$7:$D$12</c:f>
              <c:numCache>
                <c:formatCode>General</c:formatCode>
                <c:ptCount val="5"/>
                <c:pt idx="0">
                  <c:v>8</c:v>
                </c:pt>
                <c:pt idx="1">
                  <c:v>7</c:v>
                </c:pt>
                <c:pt idx="2">
                  <c:v>4</c:v>
                </c:pt>
                <c:pt idx="3">
                  <c:v>6</c:v>
                </c:pt>
                <c:pt idx="4">
                  <c:v>6</c:v>
                </c:pt>
              </c:numCache>
            </c:numRef>
          </c:val>
          <c:extLst>
            <c:ext xmlns:c16="http://schemas.microsoft.com/office/drawing/2014/chart" uri="{C3380CC4-5D6E-409C-BE32-E72D297353CC}">
              <c16:uniqueId val="{00000000-FE01-684E-B562-F9B2E4E2AF0A}"/>
            </c:ext>
          </c:extLst>
        </c:ser>
        <c:dLbls>
          <c:showLegendKey val="0"/>
          <c:showVal val="0"/>
          <c:showCatName val="0"/>
          <c:showSerName val="0"/>
          <c:showPercent val="0"/>
          <c:showBubbleSize val="0"/>
        </c:dLbls>
        <c:gapWidth val="55"/>
        <c:gapDepth val="87"/>
        <c:shape val="box"/>
        <c:axId val="1723983216"/>
        <c:axId val="1724179264"/>
        <c:axId val="0"/>
      </c:bar3DChart>
      <c:catAx>
        <c:axId val="1723983216"/>
        <c:scaling>
          <c:orientation val="minMax"/>
        </c:scaling>
        <c:delete val="0"/>
        <c:axPos val="b"/>
        <c:numFmt formatCode="General" sourceLinked="1"/>
        <c:majorTickMark val="none"/>
        <c:minorTickMark val="none"/>
        <c:tickLblPos val="nextTo"/>
        <c:spPr>
          <a:noFill/>
          <a:ln w="0">
            <a:solidFill>
              <a:srgbClr val="FF0000"/>
            </a:solidFill>
          </a:ln>
          <a:effectLst/>
        </c:spPr>
        <c:txPr>
          <a:bodyPr rot="-6000000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en-US"/>
          </a:p>
        </c:txPr>
        <c:crossAx val="1724179264"/>
        <c:crosses val="autoZero"/>
        <c:auto val="1"/>
        <c:lblAlgn val="ctr"/>
        <c:lblOffset val="100"/>
        <c:noMultiLvlLbl val="0"/>
      </c:catAx>
      <c:valAx>
        <c:axId val="172417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1" u="none" strike="noStrike" kern="1200" baseline="0">
                <a:solidFill>
                  <a:srgbClr val="FF0000"/>
                </a:solidFill>
                <a:latin typeface="+mn-lt"/>
                <a:ea typeface="+mn-ea"/>
                <a:cs typeface="+mn-cs"/>
              </a:defRPr>
            </a:pPr>
            <a:endParaRPr lang="en-US"/>
          </a:p>
        </c:txPr>
        <c:crossAx val="1723983216"/>
        <c:crosses val="autoZero"/>
        <c:crossBetween val="between"/>
      </c:valAx>
      <c:spPr>
        <a:noFill/>
        <a:ln w="15875" cap="rnd">
          <a:solidFill>
            <a:srgbClr val="FF0000"/>
          </a:solidFill>
        </a:ln>
        <a:effectLst/>
      </c:spPr>
    </c:plotArea>
    <c:legend>
      <c:legendPos val="r"/>
      <c:layout>
        <c:manualLayout>
          <c:xMode val="edge"/>
          <c:yMode val="edge"/>
          <c:x val="0.82689880742849553"/>
          <c:y val="0.34793613298337706"/>
          <c:w val="0.16048436689199236"/>
          <c:h val="0.10462729658792651"/>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[Project1_CareWorkforce_Dashboard.xlsx]Pivot_Overtime!PivotTable2</c:name>
    <c:fmtId val="4"/>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GB" sz="1500" b="1" i="0" u="none" strike="noStrike" baseline="0">
                <a:effectLst/>
              </a:rPr>
              <a:t>Total Overtime Hours by Department</a:t>
            </a:r>
            <a:endParaRPr lang="en-US" sz="1500" baseline="0"/>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843354671886077E-2"/>
          <c:y val="0.13231814152370025"/>
          <c:w val="0.79470241248350215"/>
          <c:h val="0.70396177712885222"/>
        </c:manualLayout>
      </c:layout>
      <c:barChart>
        <c:barDir val="col"/>
        <c:grouping val="clustered"/>
        <c:varyColors val="0"/>
        <c:ser>
          <c:idx val="0"/>
          <c:order val="0"/>
          <c:tx>
            <c:strRef>
              <c:f>Pivot_Overtime!$G$5</c:f>
              <c:strCache>
                <c:ptCount val="1"/>
                <c:pt idx="0">
                  <c:v>Total</c:v>
                </c:pt>
              </c:strCache>
            </c:strRef>
          </c:tx>
          <c:spPr>
            <a:solidFill>
              <a:schemeClr val="accent1"/>
            </a:solidFill>
            <a:ln>
              <a:noFill/>
            </a:ln>
            <a:effectLst/>
          </c:spPr>
          <c:invertIfNegative val="0"/>
          <c:cat>
            <c:strRef>
              <c:f>Pivot_Overtime!$F$6:$F$10</c:f>
              <c:strCache>
                <c:ptCount val="4"/>
                <c:pt idx="0">
                  <c:v>Dementia Care</c:v>
                </c:pt>
                <c:pt idx="1">
                  <c:v>Home Care</c:v>
                </c:pt>
                <c:pt idx="2">
                  <c:v>Rehabilitation</c:v>
                </c:pt>
                <c:pt idx="3">
                  <c:v>Residential</c:v>
                </c:pt>
              </c:strCache>
            </c:strRef>
          </c:cat>
          <c:val>
            <c:numRef>
              <c:f>Pivot_Overtime!$G$6:$G$10</c:f>
              <c:numCache>
                <c:formatCode>General</c:formatCode>
                <c:ptCount val="4"/>
                <c:pt idx="0">
                  <c:v>81</c:v>
                </c:pt>
                <c:pt idx="1">
                  <c:v>65</c:v>
                </c:pt>
                <c:pt idx="2">
                  <c:v>77</c:v>
                </c:pt>
                <c:pt idx="3">
                  <c:v>51</c:v>
                </c:pt>
              </c:numCache>
            </c:numRef>
          </c:val>
          <c:extLst>
            <c:ext xmlns:c16="http://schemas.microsoft.com/office/drawing/2014/chart" uri="{C3380CC4-5D6E-409C-BE32-E72D297353CC}">
              <c16:uniqueId val="{00000000-A0A9-9C45-A716-FF5C4408BBB9}"/>
            </c:ext>
          </c:extLst>
        </c:ser>
        <c:dLbls>
          <c:showLegendKey val="0"/>
          <c:showVal val="0"/>
          <c:showCatName val="0"/>
          <c:showSerName val="0"/>
          <c:showPercent val="0"/>
          <c:showBubbleSize val="0"/>
        </c:dLbls>
        <c:gapWidth val="219"/>
        <c:overlap val="-27"/>
        <c:axId val="61973951"/>
        <c:axId val="2066353280"/>
      </c:barChart>
      <c:catAx>
        <c:axId val="6197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crossAx val="2066353280"/>
        <c:crosses val="autoZero"/>
        <c:auto val="1"/>
        <c:lblAlgn val="ctr"/>
        <c:lblOffset val="100"/>
        <c:noMultiLvlLbl val="0"/>
      </c:catAx>
      <c:valAx>
        <c:axId val="206635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9050">
            <a:solidFill>
              <a:schemeClr val="tx1">
                <a:lumMod val="15000"/>
                <a:lumOff val="85000"/>
                <a:alpha val="24000"/>
              </a:schemeClr>
            </a:solid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1973951"/>
        <c:crosses val="autoZero"/>
        <c:crossBetween val="between"/>
      </c:valAx>
      <c:spPr>
        <a:noFill/>
        <a:ln cap="rnd">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effectLst/>
      </c:spPr>
    </c:plotArea>
    <c:legend>
      <c:legendPos val="r"/>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525" cap="flat" cmpd="sng" algn="ct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[Project1_CareWorkforce_Dashboard.xlsx]Pivot_Role!PivotTable1</c:name>
    <c:fmtId val="11"/>
  </c:pivotSource>
  <c:chart>
    <c:title>
      <c:tx>
        <c:rich>
          <a:bodyPr rot="0" spcFirstLastPara="1" vertOverflow="ellipsis" vert="horz" wrap="square" anchor="ctr" anchorCtr="1"/>
          <a:lstStyle/>
          <a:p>
            <a:pPr>
              <a:defRPr sz="1500" b="0" i="0" u="none" strike="noStrike" kern="1200" spc="0" baseline="0">
                <a:solidFill>
                  <a:srgbClr val="002060"/>
                </a:solidFill>
                <a:latin typeface="+mn-lt"/>
                <a:ea typeface="+mn-ea"/>
                <a:cs typeface="+mn-cs"/>
              </a:defRPr>
            </a:pPr>
            <a:r>
              <a:rPr lang="en-GB" sz="1500" b="1" i="0" u="none" strike="noStrike" baseline="0">
                <a:solidFill>
                  <a:srgbClr val="002060"/>
                </a:solidFill>
                <a:effectLst/>
              </a:rPr>
              <a:t>Staff Count by Role</a:t>
            </a:r>
            <a:endParaRPr lang="en-US" sz="1500" baseline="0">
              <a:solidFill>
                <a:srgbClr val="002060"/>
              </a:solidFill>
            </a:endParaRPr>
          </a:p>
        </c:rich>
      </c:tx>
      <c:layout>
        <c:manualLayout>
          <c:xMode val="edge"/>
          <c:yMode val="edge"/>
          <c:x val="0.23386585980837118"/>
          <c:y val="1.4769352430765026E-2"/>
        </c:manualLayout>
      </c:layout>
      <c:overlay val="0"/>
      <c:spPr>
        <a:noFill/>
        <a:ln>
          <a:solidFill>
            <a:schemeClr val="accent3">
              <a:lumMod val="50000"/>
            </a:schemeClr>
          </a:solidFill>
        </a:ln>
        <a:effectLst/>
      </c:spPr>
      <c:txPr>
        <a:bodyPr rot="0" spcFirstLastPara="1" vertOverflow="ellipsis" vert="horz" wrap="square" anchor="ctr" anchorCtr="1"/>
        <a:lstStyle/>
        <a:p>
          <a:pPr>
            <a:defRPr sz="15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solidDmnd">
            <a:fgClr>
              <a:schemeClr val="accent5">
                <a:lumMod val="50000"/>
              </a:schemeClr>
            </a:fgClr>
            <a:bgClr>
              <a:schemeClr val="bg1"/>
            </a:bgClr>
          </a:patt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6071741032371"/>
          <c:y val="0.13618037328667251"/>
          <c:w val="0.76086557964924084"/>
          <c:h val="0.44970119681179688"/>
        </c:manualLayout>
      </c:layout>
      <c:bar3DChart>
        <c:barDir val="col"/>
        <c:grouping val="clustered"/>
        <c:varyColors val="0"/>
        <c:ser>
          <c:idx val="0"/>
          <c:order val="0"/>
          <c:tx>
            <c:strRef>
              <c:f>Pivot_Role!$D$6</c:f>
              <c:strCache>
                <c:ptCount val="1"/>
                <c:pt idx="0">
                  <c:v>Total</c:v>
                </c:pt>
              </c:strCache>
            </c:strRef>
          </c:tx>
          <c:spPr>
            <a:pattFill prst="solidDmnd">
              <a:fgClr>
                <a:schemeClr val="accent5">
                  <a:lumMod val="50000"/>
                </a:schemeClr>
              </a:fgClr>
              <a:bgClr>
                <a:schemeClr val="bg1"/>
              </a:bgClr>
            </a:pattFill>
            <a:ln>
              <a:noFill/>
            </a:ln>
            <a:effectLst/>
            <a:sp3d/>
          </c:spPr>
          <c:invertIfNegative val="0"/>
          <c:cat>
            <c:strRef>
              <c:f>Pivot_Role!$C$7:$C$12</c:f>
              <c:strCache>
                <c:ptCount val="5"/>
                <c:pt idx="0">
                  <c:v>Care Assistant</c:v>
                </c:pt>
                <c:pt idx="1">
                  <c:v>Manager</c:v>
                </c:pt>
                <c:pt idx="2">
                  <c:v>Nurse</c:v>
                </c:pt>
                <c:pt idx="3">
                  <c:v>Support Worker</c:v>
                </c:pt>
                <c:pt idx="4">
                  <c:v>Team Leader</c:v>
                </c:pt>
              </c:strCache>
            </c:strRef>
          </c:cat>
          <c:val>
            <c:numRef>
              <c:f>Pivot_Role!$D$7:$D$12</c:f>
              <c:numCache>
                <c:formatCode>General</c:formatCode>
                <c:ptCount val="5"/>
                <c:pt idx="0">
                  <c:v>8</c:v>
                </c:pt>
                <c:pt idx="1">
                  <c:v>7</c:v>
                </c:pt>
                <c:pt idx="2">
                  <c:v>4</c:v>
                </c:pt>
                <c:pt idx="3">
                  <c:v>6</c:v>
                </c:pt>
                <c:pt idx="4">
                  <c:v>6</c:v>
                </c:pt>
              </c:numCache>
            </c:numRef>
          </c:val>
          <c:shape val="cylinder"/>
          <c:extLst>
            <c:ext xmlns:c16="http://schemas.microsoft.com/office/drawing/2014/chart" uri="{C3380CC4-5D6E-409C-BE32-E72D297353CC}">
              <c16:uniqueId val="{00000000-05FD-9F4C-B1FB-84F68AEEF2EC}"/>
            </c:ext>
          </c:extLst>
        </c:ser>
        <c:dLbls>
          <c:showLegendKey val="0"/>
          <c:showVal val="0"/>
          <c:showCatName val="0"/>
          <c:showSerName val="0"/>
          <c:showPercent val="0"/>
          <c:showBubbleSize val="0"/>
        </c:dLbls>
        <c:gapWidth val="85"/>
        <c:gapDepth val="0"/>
        <c:shape val="box"/>
        <c:axId val="1723983216"/>
        <c:axId val="1724179264"/>
        <c:axId val="0"/>
      </c:bar3DChart>
      <c:catAx>
        <c:axId val="1723983216"/>
        <c:scaling>
          <c:orientation val="minMax"/>
        </c:scaling>
        <c:delete val="0"/>
        <c:axPos val="b"/>
        <c:numFmt formatCode="General" sourceLinked="1"/>
        <c:majorTickMark val="none"/>
        <c:minorTickMark val="none"/>
        <c:tickLblPos val="nextTo"/>
        <c:spPr>
          <a:noFill/>
          <a:ln w="0">
            <a:solidFill>
              <a:srgbClr val="FF0000"/>
            </a:solidFill>
          </a:ln>
          <a:effectLst/>
        </c:spPr>
        <c:txPr>
          <a:bodyPr rot="-60000000" spcFirstLastPara="1" vertOverflow="ellipsis" vert="horz" wrap="square" anchor="ctr" anchorCtr="1"/>
          <a:lstStyle/>
          <a:p>
            <a:pPr>
              <a:defRPr sz="1400" b="1" i="1" u="none" strike="noStrike" kern="1200" baseline="0">
                <a:solidFill>
                  <a:srgbClr val="002060"/>
                </a:solidFill>
                <a:latin typeface="+mj-lt"/>
                <a:ea typeface="+mn-ea"/>
                <a:cs typeface="+mn-cs"/>
              </a:defRPr>
            </a:pPr>
            <a:endParaRPr lang="en-US"/>
          </a:p>
        </c:txPr>
        <c:crossAx val="1724179264"/>
        <c:crosses val="autoZero"/>
        <c:auto val="1"/>
        <c:lblAlgn val="ctr"/>
        <c:lblOffset val="100"/>
        <c:noMultiLvlLbl val="0"/>
      </c:catAx>
      <c:valAx>
        <c:axId val="172417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1" u="none" strike="noStrike" kern="1200" baseline="0">
                <a:solidFill>
                  <a:srgbClr val="002060"/>
                </a:solidFill>
                <a:latin typeface="+mn-lt"/>
                <a:ea typeface="+mn-ea"/>
                <a:cs typeface="+mn-cs"/>
              </a:defRPr>
            </a:pPr>
            <a:endParaRPr lang="en-US"/>
          </a:p>
        </c:txPr>
        <c:crossAx val="1723983216"/>
        <c:crosses val="autoZero"/>
        <c:crossBetween val="between"/>
      </c:valAx>
      <c:spPr>
        <a:noFill/>
        <a:ln w="15875" cap="rnd">
          <a:solidFill>
            <a:srgbClr val="002060"/>
          </a:solidFill>
        </a:ln>
        <a:effectLst/>
      </c:spPr>
    </c:plotArea>
    <c:legend>
      <c:legendPos val="r"/>
      <c:layout>
        <c:manualLayout>
          <c:xMode val="edge"/>
          <c:yMode val="edge"/>
          <c:x val="0.83543811284809777"/>
          <c:y val="0.37747470239609482"/>
          <c:w val="0.16048436689199236"/>
          <c:h val="0.10462729658792651"/>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E8A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[Project1_CareWorkforce_Dashboard.xlsx]Pivot_Overtime!PivotTable2</c:name>
    <c:fmtId val="6"/>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GB" sz="1500" b="1" i="0" u="none" strike="noStrike" baseline="0">
                <a:effectLst/>
              </a:rPr>
              <a:t>Total Overtime Hours by Department</a:t>
            </a:r>
            <a:endParaRPr lang="en-US" sz="1500" baseline="0"/>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843354671886077E-2"/>
          <c:y val="0.13231814152370025"/>
          <c:w val="0.79470241248350215"/>
          <c:h val="0.70396177712885222"/>
        </c:manualLayout>
      </c:layout>
      <c:barChart>
        <c:barDir val="col"/>
        <c:grouping val="clustered"/>
        <c:varyColors val="0"/>
        <c:ser>
          <c:idx val="0"/>
          <c:order val="0"/>
          <c:tx>
            <c:strRef>
              <c:f>Pivot_Overtime!$G$5</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2700000" scaled="1"/>
              <a:tileRect/>
            </a:gradFill>
            <a:ln>
              <a:noFill/>
            </a:ln>
            <a:effectLst/>
          </c:spPr>
          <c:invertIfNegative val="0"/>
          <c:cat>
            <c:strRef>
              <c:f>Pivot_Overtime!$F$6:$F$10</c:f>
              <c:strCache>
                <c:ptCount val="4"/>
                <c:pt idx="0">
                  <c:v>Dementia Care</c:v>
                </c:pt>
                <c:pt idx="1">
                  <c:v>Home Care</c:v>
                </c:pt>
                <c:pt idx="2">
                  <c:v>Rehabilitation</c:v>
                </c:pt>
                <c:pt idx="3">
                  <c:v>Residential</c:v>
                </c:pt>
              </c:strCache>
            </c:strRef>
          </c:cat>
          <c:val>
            <c:numRef>
              <c:f>Pivot_Overtime!$G$6:$G$10</c:f>
              <c:numCache>
                <c:formatCode>General</c:formatCode>
                <c:ptCount val="4"/>
                <c:pt idx="0">
                  <c:v>81</c:v>
                </c:pt>
                <c:pt idx="1">
                  <c:v>65</c:v>
                </c:pt>
                <c:pt idx="2">
                  <c:v>77</c:v>
                </c:pt>
                <c:pt idx="3">
                  <c:v>51</c:v>
                </c:pt>
              </c:numCache>
            </c:numRef>
          </c:val>
          <c:extLst>
            <c:ext xmlns:c16="http://schemas.microsoft.com/office/drawing/2014/chart" uri="{C3380CC4-5D6E-409C-BE32-E72D297353CC}">
              <c16:uniqueId val="{00000000-3778-2546-91F0-574DC1AF59BE}"/>
            </c:ext>
          </c:extLst>
        </c:ser>
        <c:dLbls>
          <c:showLegendKey val="0"/>
          <c:showVal val="0"/>
          <c:showCatName val="0"/>
          <c:showSerName val="0"/>
          <c:showPercent val="0"/>
          <c:showBubbleSize val="0"/>
        </c:dLbls>
        <c:gapWidth val="219"/>
        <c:overlap val="-27"/>
        <c:axId val="61973951"/>
        <c:axId val="2066353280"/>
      </c:barChart>
      <c:catAx>
        <c:axId val="6197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crossAx val="2066353280"/>
        <c:crosses val="autoZero"/>
        <c:auto val="1"/>
        <c:lblAlgn val="ctr"/>
        <c:lblOffset val="100"/>
        <c:noMultiLvlLbl val="0"/>
      </c:catAx>
      <c:valAx>
        <c:axId val="206635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9050">
            <a:solidFill>
              <a:schemeClr val="tx1">
                <a:lumMod val="15000"/>
                <a:lumOff val="85000"/>
                <a:alpha val="24000"/>
              </a:schemeClr>
            </a:solid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1973951"/>
        <c:crosses val="autoZero"/>
        <c:crossBetween val="between"/>
      </c:valAx>
      <c:spPr>
        <a:noFill/>
        <a:ln cap="rnd">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effectLst/>
      </c:spPr>
    </c:plotArea>
    <c:legend>
      <c:legendPos val="r"/>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525" cap="flat" cmpd="sng" algn="ct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[Project1_CareWorkforce_Dashboard.xlsx]Pivot_Overtime_Level!PivotTable4</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780" b="1" i="0" u="none" strike="noStrike" kern="1200" spc="0" baseline="0">
                <a:solidFill>
                  <a:srgbClr val="FFFF00"/>
                </a:solidFill>
                <a:latin typeface="+mn-lt"/>
                <a:ea typeface="+mn-ea"/>
                <a:cs typeface="+mn-cs"/>
              </a:defRPr>
            </a:pPr>
            <a:r>
              <a:rPr lang="en-GB" sz="1780" b="1" baseline="0">
                <a:solidFill>
                  <a:srgbClr val="FFFF00"/>
                </a:solidFill>
                <a:effectLst/>
              </a:rPr>
              <a:t>Overtime Level Distribution</a:t>
            </a:r>
          </a:p>
        </c:rich>
      </c:tx>
      <c:layout>
        <c:manualLayout>
          <c:xMode val="edge"/>
          <c:yMode val="edge"/>
          <c:x val="0.20704028440798058"/>
          <c:y val="7.7858143442188568E-3"/>
        </c:manualLayout>
      </c:layout>
      <c:overlay val="0"/>
      <c:spPr>
        <a:noFill/>
        <a:ln>
          <a:solidFill>
            <a:srgbClr val="FFFF00"/>
          </a:solidFill>
        </a:ln>
        <a:effectLst/>
      </c:spPr>
    </c:title>
    <c:autoTitleDeleted val="0"/>
    <c:pivotFmts>
      <c:pivotFmt>
        <c:idx val="0"/>
        <c:spPr>
          <a:solidFill>
            <a:schemeClr val="accent1"/>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dLbl>
          <c:idx val="0"/>
          <c:layout>
            <c:manualLayout>
              <c:x val="0.21742713906751454"/>
              <c:y val="-0.15331161191058021"/>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664018079744587"/>
                  <c:h val="0.11916666666666667"/>
                </c:manualLayout>
              </c15:layout>
            </c:ext>
          </c:extLst>
        </c:dLbl>
      </c:pivotFmt>
      <c:pivotFmt>
        <c:idx val="2"/>
        <c:spPr>
          <a:solidFill>
            <a:schemeClr val="accent1"/>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pivotFmt>
      <c:pivotFmt>
        <c:idx val="4"/>
        <c:spPr>
          <a:solidFill>
            <a:schemeClr val="accent1"/>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dLbl>
          <c:idx val="0"/>
          <c:layout>
            <c:manualLayout>
              <c:x val="0.21742713906751454"/>
              <c:y val="-0.15331161191058021"/>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664018079744587"/>
                  <c:h val="0.11916666666666667"/>
                </c:manualLayout>
              </c15:layout>
            </c:ext>
          </c:extLst>
        </c:dLbl>
      </c:pivotFmt>
      <c:pivotFmt>
        <c:idx val="5"/>
        <c:spPr>
          <a:solidFill>
            <a:schemeClr val="accent1"/>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pivotFmt>
      <c:pivotFmt>
        <c:idx val="7"/>
        <c:spPr>
          <a:solidFill>
            <a:schemeClr val="accent1"/>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dLbl>
          <c:idx val="0"/>
          <c:layout>
            <c:manualLayout>
              <c:x val="0.21742713906751454"/>
              <c:y val="-0.15331161191058021"/>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664018079744587"/>
                  <c:h val="0.11916666666666667"/>
                </c:manualLayout>
              </c15:layout>
            </c:ext>
          </c:extLst>
        </c:dLbl>
      </c:pivotFmt>
      <c:pivotFmt>
        <c:idx val="8"/>
        <c:spPr>
          <a:solidFill>
            <a:schemeClr val="accent1"/>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pivotFmt>
      <c:pivotFmt>
        <c:idx val="10"/>
        <c:spPr>
          <a:solidFill>
            <a:schemeClr val="accent1"/>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dLbl>
          <c:idx val="0"/>
          <c:layout>
            <c:manualLayout>
              <c:x val="0.21742713906751454"/>
              <c:y val="-0.15331161191058021"/>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664018079744587"/>
                  <c:h val="0.11916666666666667"/>
                </c:manualLayout>
              </c15:layout>
            </c:ext>
          </c:extLst>
        </c:dLbl>
      </c:pivotFmt>
      <c:pivotFmt>
        <c:idx val="11"/>
        <c:spPr>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chemeClr val="accent1"/>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dLbl>
          <c:idx val="0"/>
          <c:layout>
            <c:manualLayout>
              <c:x val="-0.25890440821856042"/>
              <c:y val="2.1736826589359839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4076110652124888"/>
                  <c:h val="0.13228733986231961"/>
                </c:manualLayout>
              </c15:layout>
            </c:ext>
          </c:extLst>
        </c:dLbl>
      </c:pivotFmt>
      <c:pivotFmt>
        <c:idx val="13"/>
        <c:spPr>
          <a:solidFill>
            <a:schemeClr val="accent2"/>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dLbl>
          <c:idx val="0"/>
          <c:layout>
            <c:manualLayout>
              <c:x val="0.2164597145453564"/>
              <c:y val="-4.0217021338291352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5080074356663945"/>
                  <c:h val="0.20663669120491487"/>
                </c:manualLayout>
              </c15:layout>
            </c:ext>
          </c:extLst>
        </c:dLbl>
      </c:pivotFmt>
    </c:pivotFmts>
    <c:plotArea>
      <c:layout>
        <c:manualLayout>
          <c:layoutTarget val="inner"/>
          <c:xMode val="edge"/>
          <c:yMode val="edge"/>
          <c:x val="0.19843580802224367"/>
          <c:y val="0.13931289858053897"/>
          <c:w val="0.53675345362552984"/>
          <c:h val="0.84118124691598539"/>
        </c:manualLayout>
      </c:layout>
      <c:pieChart>
        <c:varyColors val="1"/>
        <c:ser>
          <c:idx val="0"/>
          <c:order val="0"/>
          <c:tx>
            <c:strRef>
              <c:f>Pivot_Overtime_Level!$B$3</c:f>
              <c:strCache>
                <c:ptCount val="1"/>
                <c:pt idx="0">
                  <c:v>Total</c:v>
                </c:pt>
              </c:strCache>
            </c:strRef>
          </c:tx>
          <c:spPr>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dPt>
            <c:idx val="0"/>
            <c:bubble3D val="0"/>
            <c:spPr>
              <a:solidFill>
                <a:schemeClr val="accent1"/>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extLst>
              <c:ext xmlns:c16="http://schemas.microsoft.com/office/drawing/2014/chart" uri="{C3380CC4-5D6E-409C-BE32-E72D297353CC}">
                <c16:uniqueId val="{00000001-5217-174B-93C8-B7782D9CBDDA}"/>
              </c:ext>
            </c:extLst>
          </c:dPt>
          <c:dPt>
            <c:idx val="1"/>
            <c:bubble3D val="0"/>
            <c:spPr>
              <a:solidFill>
                <a:schemeClr val="accent2"/>
              </a:solidFill>
              <a:ln w="19050">
                <a:solidFill>
                  <a:schemeClr val="lt1"/>
                </a:solidFill>
              </a:ln>
              <a:effectLst>
                <a:glow rad="117776">
                  <a:schemeClr val="accent1">
                    <a:alpha val="66000"/>
                  </a:schemeClr>
                </a:glow>
                <a:outerShdw blurRad="772184" dist="305256" dir="5400000" sx="52000" sy="52000" algn="ctr" rotWithShape="0">
                  <a:srgbClr val="000000">
                    <a:alpha val="61000"/>
                  </a:srgbClr>
                </a:outerShdw>
                <a:softEdge rad="0"/>
              </a:effectLst>
              <a:scene3d>
                <a:camera prst="orthographicFront"/>
                <a:lightRig rig="threePt" dir="t"/>
              </a:scene3d>
              <a:sp3d prstMaterial="metal">
                <a:bevelT w="107950" h="133350"/>
                <a:bevelB w="44450" h="44450"/>
              </a:sp3d>
            </c:spPr>
            <c:extLst>
              <c:ext xmlns:c16="http://schemas.microsoft.com/office/drawing/2014/chart" uri="{C3380CC4-5D6E-409C-BE32-E72D297353CC}">
                <c16:uniqueId val="{00000003-5217-174B-93C8-B7782D9CBDDA}"/>
              </c:ext>
            </c:extLst>
          </c:dPt>
          <c:dLbls>
            <c:dLbl>
              <c:idx val="0"/>
              <c:layout>
                <c:manualLayout>
                  <c:x val="-0.25890440821856042"/>
                  <c:y val="2.1736826589359839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4076110652124888"/>
                      <c:h val="0.13228733986231961"/>
                    </c:manualLayout>
                  </c15:layout>
                </c:ext>
                <c:ext xmlns:c16="http://schemas.microsoft.com/office/drawing/2014/chart" uri="{C3380CC4-5D6E-409C-BE32-E72D297353CC}">
                  <c16:uniqueId val="{00000001-5217-174B-93C8-B7782D9CBDDA}"/>
                </c:ext>
              </c:extLst>
            </c:dLbl>
            <c:dLbl>
              <c:idx val="1"/>
              <c:layout>
                <c:manualLayout>
                  <c:x val="0.2164597145453564"/>
                  <c:y val="-4.0217021338291352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5080074356663945"/>
                      <c:h val="0.20663669120491487"/>
                    </c:manualLayout>
                  </c15:layout>
                </c:ext>
                <c:ext xmlns:c16="http://schemas.microsoft.com/office/drawing/2014/chart" uri="{C3380CC4-5D6E-409C-BE32-E72D297353CC}">
                  <c16:uniqueId val="{00000003-5217-174B-93C8-B7782D9CBDDA}"/>
                </c:ext>
              </c:extLst>
            </c:dLbl>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rgbClr val="FFFF00"/>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Pivot_Overtime_Level!$A$4:$A$6</c:f>
              <c:strCache>
                <c:ptCount val="2"/>
                <c:pt idx="0">
                  <c:v>High</c:v>
                </c:pt>
                <c:pt idx="1">
                  <c:v>Normal</c:v>
                </c:pt>
              </c:strCache>
            </c:strRef>
          </c:cat>
          <c:val>
            <c:numRef>
              <c:f>Pivot_Overtime_Level!$B$4:$B$6</c:f>
              <c:numCache>
                <c:formatCode>General</c:formatCode>
                <c:ptCount val="2"/>
                <c:pt idx="0">
                  <c:v>14</c:v>
                </c:pt>
                <c:pt idx="1">
                  <c:v>17</c:v>
                </c:pt>
              </c:numCache>
            </c:numRef>
          </c:val>
          <c:extLst>
            <c:ext xmlns:c16="http://schemas.microsoft.com/office/drawing/2014/chart" uri="{C3380CC4-5D6E-409C-BE32-E72D297353CC}">
              <c16:uniqueId val="{00000004-5217-174B-93C8-B7782D9CBDD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087173959103196"/>
          <c:y val="0.44952462288451833"/>
          <c:w val="0.16591398976377561"/>
          <c:h val="0.18306420266371359"/>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w="9525" cap="flat" cmpd="sng" algn="ct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619230</xdr:colOff>
      <xdr:row>16</xdr:row>
      <xdr:rowOff>141110</xdr:rowOff>
    </xdr:from>
    <xdr:to>
      <xdr:col>7</xdr:col>
      <xdr:colOff>332026</xdr:colOff>
      <xdr:row>29</xdr:row>
      <xdr:rowOff>184605</xdr:rowOff>
    </xdr:to>
    <xdr:graphicFrame macro="">
      <xdr:nvGraphicFramePr>
        <xdr:cNvPr id="2" name="Chart 1">
          <a:extLst>
            <a:ext uri="{FF2B5EF4-FFF2-40B4-BE49-F238E27FC236}">
              <a16:creationId xmlns:a16="http://schemas.microsoft.com/office/drawing/2014/main" id="{6A6EAAB6-B7C7-985F-E7B0-57E80ECA9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381583</xdr:colOff>
      <xdr:row>8</xdr:row>
      <xdr:rowOff>36523</xdr:rowOff>
    </xdr:from>
    <xdr:to>
      <xdr:col>10</xdr:col>
      <xdr:colOff>566854</xdr:colOff>
      <xdr:row>21</xdr:row>
      <xdr:rowOff>66091</xdr:rowOff>
    </xdr:to>
    <mc:AlternateContent xmlns:mc="http://schemas.openxmlformats.org/markup-compatibility/2006">
      <mc:Choice xmlns:a14="http://schemas.microsoft.com/office/drawing/2010/main" Requires="a14">
        <xdr:graphicFrame macro="">
          <xdr:nvGraphicFramePr>
            <xdr:cNvPr id="3" name="ShiftType_Clean">
              <a:extLst>
                <a:ext uri="{FF2B5EF4-FFF2-40B4-BE49-F238E27FC236}">
                  <a16:creationId xmlns:a16="http://schemas.microsoft.com/office/drawing/2014/main" id="{C1E87A82-795B-1258-4F51-52F952873CA7}"/>
                </a:ext>
              </a:extLst>
            </xdr:cNvPr>
            <xdr:cNvGraphicFramePr/>
          </xdr:nvGraphicFramePr>
          <xdr:xfrm>
            <a:off x="0" y="0"/>
            <a:ext cx="0" cy="0"/>
          </xdr:xfrm>
          <a:graphic>
            <a:graphicData uri="http://schemas.microsoft.com/office/drawing/2010/slicer">
              <sle:slicer xmlns:sle="http://schemas.microsoft.com/office/drawing/2010/slicer" name="ShiftType_Clean"/>
            </a:graphicData>
          </a:graphic>
        </xdr:graphicFrame>
      </mc:Choice>
      <mc:Fallback>
        <xdr:sp macro="" textlink="">
          <xdr:nvSpPr>
            <xdr:cNvPr id="0" name=""/>
            <xdr:cNvSpPr>
              <a:spLocks noTextEdit="1"/>
            </xdr:cNvSpPr>
          </xdr:nvSpPr>
          <xdr:spPr>
            <a:xfrm>
              <a:off x="8217400" y="1630248"/>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806450</xdr:colOff>
      <xdr:row>10</xdr:row>
      <xdr:rowOff>190500</xdr:rowOff>
    </xdr:from>
    <xdr:to>
      <xdr:col>8</xdr:col>
      <xdr:colOff>355600</xdr:colOff>
      <xdr:row>32</xdr:row>
      <xdr:rowOff>63500</xdr:rowOff>
    </xdr:to>
    <xdr:graphicFrame macro="">
      <xdr:nvGraphicFramePr>
        <xdr:cNvPr id="3" name="Chart 2">
          <a:extLst>
            <a:ext uri="{FF2B5EF4-FFF2-40B4-BE49-F238E27FC236}">
              <a16:creationId xmlns:a16="http://schemas.microsoft.com/office/drawing/2014/main" id="{73909C0E-6D54-904D-9B4F-1705384BE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4</xdr:row>
      <xdr:rowOff>88900</xdr:rowOff>
    </xdr:from>
    <xdr:to>
      <xdr:col>11</xdr:col>
      <xdr:colOff>76200</xdr:colOff>
      <xdr:row>20</xdr:row>
      <xdr:rowOff>127000</xdr:rowOff>
    </xdr:to>
    <xdr:graphicFrame macro="">
      <xdr:nvGraphicFramePr>
        <xdr:cNvPr id="6" name="Chart 5">
          <a:extLst>
            <a:ext uri="{FF2B5EF4-FFF2-40B4-BE49-F238E27FC236}">
              <a16:creationId xmlns:a16="http://schemas.microsoft.com/office/drawing/2014/main" id="{237F4B5B-8F79-B929-809B-7EA8278F5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505399</xdr:colOff>
      <xdr:row>18</xdr:row>
      <xdr:rowOff>107623</xdr:rowOff>
    </xdr:from>
    <xdr:to>
      <xdr:col>10</xdr:col>
      <xdr:colOff>523217</xdr:colOff>
      <xdr:row>35</xdr:row>
      <xdr:rowOff>9164</xdr:rowOff>
    </xdr:to>
    <xdr:graphicFrame macro="">
      <xdr:nvGraphicFramePr>
        <xdr:cNvPr id="4" name="Chart 3">
          <a:extLst>
            <a:ext uri="{FF2B5EF4-FFF2-40B4-BE49-F238E27FC236}">
              <a16:creationId xmlns:a16="http://schemas.microsoft.com/office/drawing/2014/main" id="{4AD929CC-3AA3-844C-9E64-C9A4F5682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415040</xdr:colOff>
      <xdr:row>18</xdr:row>
      <xdr:rowOff>66781</xdr:rowOff>
    </xdr:from>
    <xdr:to>
      <xdr:col>4</xdr:col>
      <xdr:colOff>687412</xdr:colOff>
      <xdr:row>34</xdr:row>
      <xdr:rowOff>106851</xdr:rowOff>
    </xdr:to>
    <xdr:graphicFrame macro="">
      <xdr:nvGraphicFramePr>
        <xdr:cNvPr id="5" name="Chart 4">
          <a:extLst>
            <a:ext uri="{FF2B5EF4-FFF2-40B4-BE49-F238E27FC236}">
              <a16:creationId xmlns:a16="http://schemas.microsoft.com/office/drawing/2014/main" id="{8C65FBC0-DD11-1343-8B22-1320C91E5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83965</xdr:colOff>
      <xdr:row>14</xdr:row>
      <xdr:rowOff>77614</xdr:rowOff>
    </xdr:from>
    <xdr:to>
      <xdr:col>10</xdr:col>
      <xdr:colOff>346363</xdr:colOff>
      <xdr:row>29</xdr:row>
      <xdr:rowOff>41984</xdr:rowOff>
    </xdr:to>
    <xdr:graphicFrame macro="">
      <xdr:nvGraphicFramePr>
        <xdr:cNvPr id="2" name="Chart 1">
          <a:extLst>
            <a:ext uri="{FF2B5EF4-FFF2-40B4-BE49-F238E27FC236}">
              <a16:creationId xmlns:a16="http://schemas.microsoft.com/office/drawing/2014/main" id="{C4812FA3-7B2B-A944-B0BA-9812B02DD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127000</xdr:colOff>
      <xdr:row>14</xdr:row>
      <xdr:rowOff>58167</xdr:rowOff>
    </xdr:from>
    <xdr:to>
      <xdr:col>3</xdr:col>
      <xdr:colOff>535289</xdr:colOff>
      <xdr:row>29</xdr:row>
      <xdr:rowOff>62976</xdr:rowOff>
    </xdr:to>
    <xdr:graphicFrame macro="">
      <xdr:nvGraphicFramePr>
        <xdr:cNvPr id="3" name="Chart 2">
          <a:extLst>
            <a:ext uri="{FF2B5EF4-FFF2-40B4-BE49-F238E27FC236}">
              <a16:creationId xmlns:a16="http://schemas.microsoft.com/office/drawing/2014/main" id="{607969D5-3C02-544C-9FD3-91693AC5F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539436</xdr:colOff>
      <xdr:row>1</xdr:row>
      <xdr:rowOff>65770</xdr:rowOff>
    </xdr:from>
    <xdr:to>
      <xdr:col>7</xdr:col>
      <xdr:colOff>801834</xdr:colOff>
      <xdr:row>13</xdr:row>
      <xdr:rowOff>197136</xdr:rowOff>
    </xdr:to>
    <xdr:graphicFrame macro="">
      <xdr:nvGraphicFramePr>
        <xdr:cNvPr id="4" name="Chart 3">
          <a:extLst>
            <a:ext uri="{FF2B5EF4-FFF2-40B4-BE49-F238E27FC236}">
              <a16:creationId xmlns:a16="http://schemas.microsoft.com/office/drawing/2014/main" id="{1397FAE3-8174-3143-8E4C-54B4ABD1E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818677</xdr:colOff>
      <xdr:row>1</xdr:row>
      <xdr:rowOff>197554</xdr:rowOff>
    </xdr:from>
    <xdr:to>
      <xdr:col>11</xdr:col>
      <xdr:colOff>437444</xdr:colOff>
      <xdr:row>11</xdr:row>
      <xdr:rowOff>112888</xdr:rowOff>
    </xdr:to>
    <mc:AlternateContent xmlns:mc="http://schemas.openxmlformats.org/markup-compatibility/2006" xmlns:a14="http://schemas.microsoft.com/office/drawing/2010/main">
      <mc:Choice Requires="a14">
        <xdr:graphicFrame macro="">
          <xdr:nvGraphicFramePr>
            <xdr:cNvPr id="5" name="ShiftType_Clean 1">
              <a:extLst>
                <a:ext uri="{FF2B5EF4-FFF2-40B4-BE49-F238E27FC236}">
                  <a16:creationId xmlns:a16="http://schemas.microsoft.com/office/drawing/2014/main" id="{C10B04BE-8569-DF4B-85DB-CE9348554772}"/>
                </a:ext>
              </a:extLst>
            </xdr:cNvPr>
            <xdr:cNvGraphicFramePr/>
          </xdr:nvGraphicFramePr>
          <xdr:xfrm>
            <a:off x="0" y="0"/>
            <a:ext cx="0" cy="0"/>
          </xdr:xfrm>
          <a:graphic>
            <a:graphicData uri="http://schemas.microsoft.com/office/drawing/2010/slicer">
              <sle:slicer xmlns:sle="http://schemas.microsoft.com/office/drawing/2010/slicer" name="ShiftType_Clean 1"/>
            </a:graphicData>
          </a:graphic>
        </xdr:graphicFrame>
      </mc:Choice>
      <mc:Fallback xmlns="">
        <xdr:sp macro="" textlink="">
          <xdr:nvSpPr>
            <xdr:cNvPr id="0" name=""/>
            <xdr:cNvSpPr>
              <a:spLocks noTextEdit="1"/>
            </xdr:cNvSpPr>
          </xdr:nvSpPr>
          <xdr:spPr>
            <a:xfrm>
              <a:off x="8918455" y="395111"/>
              <a:ext cx="1838945" cy="26894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60.933132407408" createdVersion="8" refreshedVersion="8" minRefreshableVersion="3" recordCount="120" xr:uid="{1DB95459-520C-304D-AEA4-EC6A2EA2D8B3}">
  <cacheSource type="worksheet">
    <worksheetSource name="RawData"/>
  </cacheSource>
  <cacheFields count="18">
    <cacheField name="StaffID" numFmtId="0">
      <sharedItems containsSemiMixedTypes="0" containsString="0" containsNumber="1" containsInteger="1" minValue="2000" maxValue="2119"/>
    </cacheField>
    <cacheField name="Role" numFmtId="0">
      <sharedItems count="6">
        <s v="Team Leader"/>
        <s v="Nurse"/>
        <s v="Support Worker"/>
        <s v="Manager"/>
        <s v="Care Assistant"/>
        <s v="Senior Carer"/>
      </sharedItems>
    </cacheField>
    <cacheField name="Band" numFmtId="0">
      <sharedItems/>
    </cacheField>
    <cacheField name="Department" numFmtId="0">
      <sharedItems count="4">
        <s v="Residential"/>
        <s v="Rehabilitation"/>
        <s v="Home Care"/>
        <s v="Dementia Care"/>
      </sharedItems>
    </cacheField>
    <cacheField name="Location" numFmtId="0">
      <sharedItems/>
    </cacheField>
    <cacheField name="ShiftType" numFmtId="0">
      <sharedItems/>
    </cacheField>
    <cacheField name="ContractType" numFmtId="0">
      <sharedItems/>
    </cacheField>
    <cacheField name="HoursWorked" numFmtId="0">
      <sharedItems containsSemiMixedTypes="0" containsString="0" containsNumber="1" containsInteger="1" minValue="30" maxValue="60"/>
    </cacheField>
    <cacheField name="OvertimeHours" numFmtId="0">
      <sharedItems containsSemiMixedTypes="0" containsString="0" containsNumber="1" containsInteger="1" minValue="0" maxValue="20"/>
    </cacheField>
    <cacheField name="AbsenceDays" numFmtId="0">
      <sharedItems containsSemiMixedTypes="0" containsString="0" containsNumber="1" containsInteger="1" minValue="0" maxValue="6"/>
    </cacheField>
    <cacheField name="LateDays" numFmtId="0">
      <sharedItems containsSemiMixedTypes="0" containsString="0" containsNumber="1" containsInteger="1" minValue="0" maxValue="4"/>
    </cacheField>
    <cacheField name="StartDate" numFmtId="14">
      <sharedItems containsSemiMixedTypes="0" containsNonDate="0" containsDate="1" containsString="0" minDate="2025-09-01T00:00:00" maxDate="2025-11-30T00:00:00"/>
    </cacheField>
    <cacheField name="ShiftType_Clean" numFmtId="0">
      <sharedItems count="3">
        <s v="Night"/>
        <s v="Day"/>
        <s v="Weekend"/>
      </sharedItems>
    </cacheField>
    <cacheField name="HoursWorked_Clean" numFmtId="0">
      <sharedItems containsSemiMixedTypes="0" containsString="0" containsNumber="1" containsInteger="1" minValue="30" maxValue="60"/>
    </cacheField>
    <cacheField name="StartDate_Clean" numFmtId="14">
      <sharedItems containsSemiMixedTypes="0" containsNonDate="0" containsDate="1" containsString="0" minDate="2025-09-01T00:00:00" maxDate="2025-11-30T00:00:00"/>
    </cacheField>
    <cacheField name="WorkType" numFmtId="0">
      <sharedItems/>
    </cacheField>
    <cacheField name="RiskFlag" numFmtId="0">
      <sharedItems/>
    </cacheField>
    <cacheField name="OvertimeLevel" numFmtId="0">
      <sharedItems count="2">
        <s v="Normal"/>
        <s v="High"/>
      </sharedItems>
    </cacheField>
  </cacheFields>
  <extLst>
    <ext xmlns:x14="http://schemas.microsoft.com/office/spreadsheetml/2009/9/main" uri="{725AE2AE-9491-48be-B2B4-4EB974FC3084}">
      <x14:pivotCacheDefinition pivotCacheId="874271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2000"/>
    <x v="0"/>
    <s v="Band 6"/>
    <x v="0"/>
    <s v="Leeds"/>
    <s v="Night"/>
    <s v="Full-time"/>
    <n v="39"/>
    <n v="0"/>
    <n v="5"/>
    <n v="4"/>
    <d v="2025-09-16T00:00:00"/>
    <x v="0"/>
    <n v="39"/>
    <d v="2025-09-16T00:00:00"/>
    <s v="Part-time"/>
    <s v="At Risk"/>
    <x v="0"/>
  </r>
  <r>
    <n v="2001"/>
    <x v="1"/>
    <s v="Band 5"/>
    <x v="1"/>
    <s v="Leeds"/>
    <s v="Night"/>
    <s v="Full-time"/>
    <n v="30"/>
    <n v="0"/>
    <n v="1"/>
    <n v="3"/>
    <d v="2025-09-29T00:00:00"/>
    <x v="0"/>
    <n v="30"/>
    <d v="2025-09-29T00:00:00"/>
    <s v="Part-time"/>
    <s v="At Risk"/>
    <x v="0"/>
  </r>
  <r>
    <n v="2002"/>
    <x v="2"/>
    <s v="Band 2"/>
    <x v="1"/>
    <s v="Birmingham"/>
    <s v="Day"/>
    <s v="Full-time"/>
    <n v="55"/>
    <n v="15"/>
    <n v="5"/>
    <n v="0"/>
    <d v="2025-09-30T00:00:00"/>
    <x v="1"/>
    <n v="55"/>
    <d v="2025-09-30T00:00:00"/>
    <s v="Full-time"/>
    <s v="At Risk"/>
    <x v="1"/>
  </r>
  <r>
    <n v="2003"/>
    <x v="3"/>
    <s v="Band 7"/>
    <x v="2"/>
    <s v="Unknown"/>
    <s v="Night"/>
    <s v="Full-time"/>
    <n v="47"/>
    <n v="7"/>
    <n v="2"/>
    <n v="0"/>
    <d v="2025-11-13T00:00:00"/>
    <x v="0"/>
    <n v="47"/>
    <d v="2025-11-13T00:00:00"/>
    <s v="Full-time"/>
    <s v="OK"/>
    <x v="0"/>
  </r>
  <r>
    <n v="2004"/>
    <x v="0"/>
    <s v="Band 6"/>
    <x v="2"/>
    <s v="Leeds"/>
    <s v="Night"/>
    <s v="Part-time"/>
    <n v="30"/>
    <n v="0"/>
    <n v="2"/>
    <n v="0"/>
    <d v="2025-10-07T00:00:00"/>
    <x v="0"/>
    <n v="30"/>
    <d v="2025-10-07T00:00:00"/>
    <s v="Part-time"/>
    <s v="OK"/>
    <x v="0"/>
  </r>
  <r>
    <n v="2005"/>
    <x v="3"/>
    <s v="Band 7"/>
    <x v="2"/>
    <s v="Leeds"/>
    <s v=" night "/>
    <s v="Part-time"/>
    <n v="45"/>
    <n v="9"/>
    <n v="0"/>
    <n v="4"/>
    <d v="2025-09-12T00:00:00"/>
    <x v="0"/>
    <n v="45"/>
    <d v="2025-09-12T00:00:00"/>
    <s v="Full-time"/>
    <s v="At Risk"/>
    <x v="0"/>
  </r>
  <r>
    <n v="2006"/>
    <x v="3"/>
    <s v="Band 7"/>
    <x v="2"/>
    <s v="Manchester"/>
    <s v="Night"/>
    <s v="Full-time"/>
    <n v="52"/>
    <n v="12"/>
    <n v="0"/>
    <n v="3"/>
    <d v="2025-11-02T00:00:00"/>
    <x v="0"/>
    <n v="52"/>
    <d v="2025-11-02T00:00:00"/>
    <s v="Full-time"/>
    <s v="At Risk"/>
    <x v="1"/>
  </r>
  <r>
    <n v="2007"/>
    <x v="4"/>
    <s v="Band 2"/>
    <x v="1"/>
    <s v="London"/>
    <s v="Weekend"/>
    <s v="Full-time"/>
    <n v="31"/>
    <n v="0"/>
    <n v="0"/>
    <n v="4"/>
    <d v="2025-11-18T00:00:00"/>
    <x v="2"/>
    <n v="31"/>
    <d v="2025-11-18T00:00:00"/>
    <s v="Part-time"/>
    <s v="At Risk"/>
    <x v="0"/>
  </r>
  <r>
    <n v="2008"/>
    <x v="1"/>
    <s v="Band 5"/>
    <x v="3"/>
    <s v="Manchester"/>
    <s v="Night"/>
    <s v="Part-time"/>
    <n v="47"/>
    <n v="7"/>
    <n v="3"/>
    <n v="3"/>
    <d v="2025-09-26T00:00:00"/>
    <x v="0"/>
    <n v="47"/>
    <d v="2025-09-26T00:00:00"/>
    <s v="Full-time"/>
    <s v="At Risk"/>
    <x v="0"/>
  </r>
  <r>
    <n v="2009"/>
    <x v="1"/>
    <s v="Band 5"/>
    <x v="2"/>
    <s v="Bristol"/>
    <s v="Night"/>
    <s v="Part-time"/>
    <n v="60"/>
    <n v="20"/>
    <n v="5"/>
    <n v="4"/>
    <d v="2025-11-26T00:00:00"/>
    <x v="0"/>
    <n v="60"/>
    <d v="2025-11-26T00:00:00"/>
    <s v="Full-time"/>
    <s v="At Risk"/>
    <x v="1"/>
  </r>
  <r>
    <n v="2010"/>
    <x v="4"/>
    <s v="Band 2"/>
    <x v="0"/>
    <s v="Bristol"/>
    <s v="Night"/>
    <s v="Full-time"/>
    <n v="60"/>
    <n v="20"/>
    <n v="6"/>
    <n v="1"/>
    <d v="2025-09-13T00:00:00"/>
    <x v="0"/>
    <n v="60"/>
    <d v="2025-09-13T00:00:00"/>
    <s v="Full-time"/>
    <s v="At Risk"/>
    <x v="1"/>
  </r>
  <r>
    <n v="2011"/>
    <x v="1"/>
    <s v="Band 5"/>
    <x v="1"/>
    <s v="Manchester"/>
    <s v="Day"/>
    <s v="Full-time"/>
    <n v="31"/>
    <n v="0"/>
    <n v="1"/>
    <n v="4"/>
    <d v="2025-09-28T00:00:00"/>
    <x v="1"/>
    <n v="31"/>
    <d v="2025-09-28T00:00:00"/>
    <s v="Part-time"/>
    <s v="At Risk"/>
    <x v="0"/>
  </r>
  <r>
    <n v="2012"/>
    <x v="4"/>
    <s v="Band 2"/>
    <x v="2"/>
    <s v="Unknown"/>
    <s v="Weekend"/>
    <s v="Full-time"/>
    <n v="48"/>
    <n v="8"/>
    <n v="5"/>
    <n v="0"/>
    <d v="2025-09-12T00:00:00"/>
    <x v="2"/>
    <n v="48"/>
    <d v="2025-09-12T00:00:00"/>
    <s v="Full-time"/>
    <s v="At Risk"/>
    <x v="0"/>
  </r>
  <r>
    <n v="2013"/>
    <x v="0"/>
    <s v="Band 6"/>
    <x v="0"/>
    <s v="Manchester"/>
    <s v="Night"/>
    <s v="Part-time"/>
    <n v="58"/>
    <n v="18"/>
    <n v="2"/>
    <n v="0"/>
    <d v="2025-09-10T00:00:00"/>
    <x v="0"/>
    <n v="58"/>
    <d v="2025-09-10T00:00:00"/>
    <s v="Full-time"/>
    <s v="OK"/>
    <x v="1"/>
  </r>
  <r>
    <n v="2014"/>
    <x v="0"/>
    <s v="Band 6"/>
    <x v="3"/>
    <s v="London"/>
    <s v="Day"/>
    <s v="Part-time"/>
    <n v="45"/>
    <n v="5"/>
    <n v="2"/>
    <n v="0"/>
    <d v="2025-11-11T00:00:00"/>
    <x v="1"/>
    <n v="45"/>
    <d v="2025-11-11T00:00:00"/>
    <s v="Full-time"/>
    <s v="OK"/>
    <x v="0"/>
  </r>
  <r>
    <n v="2015"/>
    <x v="1"/>
    <s v="Band 5"/>
    <x v="3"/>
    <s v="Birmingham"/>
    <s v="Night"/>
    <s v="Part-time"/>
    <n v="54"/>
    <n v="14"/>
    <n v="3"/>
    <n v="1"/>
    <d v="2025-10-17T00:00:00"/>
    <x v="0"/>
    <n v="54"/>
    <d v="2025-10-17T00:00:00"/>
    <s v="Full-time"/>
    <s v="OK"/>
    <x v="1"/>
  </r>
  <r>
    <n v="2016"/>
    <x v="4"/>
    <s v="Band 2"/>
    <x v="3"/>
    <s v="Birmingham"/>
    <s v=" night "/>
    <s v="Full-time"/>
    <n v="37"/>
    <n v="0"/>
    <n v="3"/>
    <n v="4"/>
    <d v="2025-10-04T00:00:00"/>
    <x v="0"/>
    <n v="37"/>
    <d v="2025-10-04T00:00:00"/>
    <s v="Part-time"/>
    <s v="At Risk"/>
    <x v="0"/>
  </r>
  <r>
    <n v="2017"/>
    <x v="2"/>
    <s v="Band 2"/>
    <x v="2"/>
    <s v="Leeds"/>
    <s v="Night"/>
    <s v="Full-time"/>
    <n v="50"/>
    <n v="10"/>
    <n v="2"/>
    <n v="0"/>
    <d v="2025-11-28T00:00:00"/>
    <x v="0"/>
    <n v="50"/>
    <d v="2025-11-28T00:00:00"/>
    <s v="Full-time"/>
    <s v="OK"/>
    <x v="0"/>
  </r>
  <r>
    <n v="2018"/>
    <x v="3"/>
    <s v="Band 7"/>
    <x v="3"/>
    <s v="Manchester"/>
    <s v=" night "/>
    <s v="Part-time"/>
    <n v="42"/>
    <n v="2"/>
    <n v="5"/>
    <n v="4"/>
    <d v="2025-11-11T00:00:00"/>
    <x v="0"/>
    <n v="42"/>
    <d v="2025-11-11T00:00:00"/>
    <s v="Full-time"/>
    <s v="At Risk"/>
    <x v="0"/>
  </r>
  <r>
    <n v="2019"/>
    <x v="5"/>
    <s v="Band 3"/>
    <x v="1"/>
    <s v="Manchester"/>
    <s v="Day"/>
    <s v="Full-time"/>
    <n v="54"/>
    <n v="14"/>
    <n v="0"/>
    <n v="2"/>
    <d v="2025-10-25T00:00:00"/>
    <x v="1"/>
    <n v="54"/>
    <d v="2025-10-25T00:00:00"/>
    <s v="Full-time"/>
    <s v="OK"/>
    <x v="1"/>
  </r>
  <r>
    <n v="2020"/>
    <x v="5"/>
    <s v="Band 3"/>
    <x v="2"/>
    <s v="Manchester"/>
    <s v="Day"/>
    <s v="Part-time"/>
    <n v="32"/>
    <n v="0"/>
    <n v="0"/>
    <n v="0"/>
    <d v="2025-09-16T00:00:00"/>
    <x v="1"/>
    <n v="32"/>
    <d v="2025-09-16T00:00:00"/>
    <s v="Part-time"/>
    <s v="OK"/>
    <x v="0"/>
  </r>
  <r>
    <n v="2021"/>
    <x v="4"/>
    <s v="Band 2"/>
    <x v="1"/>
    <s v="Bristol"/>
    <s v="Day"/>
    <s v="Part-time"/>
    <n v="59"/>
    <n v="19"/>
    <n v="6"/>
    <n v="2"/>
    <d v="2025-09-23T00:00:00"/>
    <x v="1"/>
    <n v="59"/>
    <d v="2025-09-23T00:00:00"/>
    <s v="Full-time"/>
    <s v="At Risk"/>
    <x v="1"/>
  </r>
  <r>
    <n v="2022"/>
    <x v="4"/>
    <s v="Band 2"/>
    <x v="3"/>
    <s v="Bristol"/>
    <s v="Night"/>
    <s v="Part-time"/>
    <n v="41"/>
    <n v="1"/>
    <n v="0"/>
    <n v="4"/>
    <d v="2025-11-02T00:00:00"/>
    <x v="0"/>
    <n v="41"/>
    <d v="2025-11-02T00:00:00"/>
    <s v="Full-time"/>
    <s v="At Risk"/>
    <x v="0"/>
  </r>
  <r>
    <n v="2023"/>
    <x v="0"/>
    <s v="Band 6"/>
    <x v="1"/>
    <s v="London"/>
    <s v="Day"/>
    <s v="Part-time"/>
    <n v="52"/>
    <n v="12"/>
    <n v="1"/>
    <n v="1"/>
    <d v="2025-11-19T00:00:00"/>
    <x v="1"/>
    <n v="52"/>
    <d v="2025-11-19T00:00:00"/>
    <s v="Full-time"/>
    <s v="OK"/>
    <x v="1"/>
  </r>
  <r>
    <n v="2024"/>
    <x v="3"/>
    <s v="Band 7"/>
    <x v="1"/>
    <s v="Leeds"/>
    <s v="Day"/>
    <s v="Part-time"/>
    <n v="42"/>
    <n v="2"/>
    <n v="0"/>
    <n v="2"/>
    <d v="2025-10-28T00:00:00"/>
    <x v="1"/>
    <n v="42"/>
    <d v="2025-10-28T00:00:00"/>
    <s v="Full-time"/>
    <s v="OK"/>
    <x v="0"/>
  </r>
  <r>
    <n v="2025"/>
    <x v="0"/>
    <s v="Band 6"/>
    <x v="2"/>
    <s v="Bristol"/>
    <s v="Night"/>
    <s v="Part-time"/>
    <n v="45"/>
    <n v="1"/>
    <n v="1"/>
    <n v="2"/>
    <d v="2025-10-16T00:00:00"/>
    <x v="0"/>
    <n v="45"/>
    <d v="2025-10-16T00:00:00"/>
    <s v="Full-time"/>
    <s v="OK"/>
    <x v="0"/>
  </r>
  <r>
    <n v="2026"/>
    <x v="3"/>
    <s v="Band 7"/>
    <x v="3"/>
    <s v="Bristol"/>
    <s v="Night"/>
    <s v="Full-time"/>
    <n v="38"/>
    <n v="0"/>
    <n v="1"/>
    <n v="1"/>
    <d v="2025-10-08T00:00:00"/>
    <x v="0"/>
    <n v="38"/>
    <d v="2025-10-08T00:00:00"/>
    <s v="Part-time"/>
    <s v="OK"/>
    <x v="0"/>
  </r>
  <r>
    <n v="2027"/>
    <x v="4"/>
    <s v="Band 2"/>
    <x v="0"/>
    <s v="London"/>
    <s v="Night"/>
    <s v="Full-time"/>
    <n v="30"/>
    <n v="0"/>
    <n v="2"/>
    <n v="3"/>
    <d v="2025-09-30T00:00:00"/>
    <x v="0"/>
    <n v="30"/>
    <d v="2025-09-30T00:00:00"/>
    <s v="Part-time"/>
    <s v="At Risk"/>
    <x v="0"/>
  </r>
  <r>
    <n v="2028"/>
    <x v="2"/>
    <s v="Band 2"/>
    <x v="2"/>
    <s v="London"/>
    <s v="Day"/>
    <s v="Full-time"/>
    <n v="46"/>
    <n v="6"/>
    <n v="4"/>
    <n v="2"/>
    <d v="2025-09-15T00:00:00"/>
    <x v="1"/>
    <n v="46"/>
    <d v="2025-09-15T00:00:00"/>
    <s v="Full-time"/>
    <s v="At Risk"/>
    <x v="0"/>
  </r>
  <r>
    <n v="2029"/>
    <x v="0"/>
    <s v="Band 6"/>
    <x v="1"/>
    <s v="Leeds"/>
    <s v="Day"/>
    <s v="Part-time"/>
    <n v="49"/>
    <n v="9"/>
    <n v="3"/>
    <n v="1"/>
    <d v="2025-10-21T00:00:00"/>
    <x v="1"/>
    <n v="49"/>
    <d v="2025-10-21T00:00:00"/>
    <s v="Full-time"/>
    <s v="OK"/>
    <x v="0"/>
  </r>
  <r>
    <n v="2030"/>
    <x v="4"/>
    <s v="Band 2"/>
    <x v="1"/>
    <s v="Unknown"/>
    <s v="Weekend"/>
    <s v="Part-time"/>
    <n v="51"/>
    <n v="11"/>
    <n v="1"/>
    <n v="0"/>
    <d v="2025-09-18T00:00:00"/>
    <x v="2"/>
    <n v="51"/>
    <d v="2025-09-18T00:00:00"/>
    <s v="Full-time"/>
    <s v="OK"/>
    <x v="1"/>
  </r>
  <r>
    <n v="2031"/>
    <x v="3"/>
    <s v="Band 7"/>
    <x v="1"/>
    <s v="Leeds"/>
    <s v="Night"/>
    <s v="Full-time"/>
    <n v="30"/>
    <n v="0"/>
    <n v="1"/>
    <n v="1"/>
    <d v="2025-11-20T00:00:00"/>
    <x v="0"/>
    <n v="30"/>
    <d v="2025-11-20T00:00:00"/>
    <s v="Part-time"/>
    <s v="OK"/>
    <x v="0"/>
  </r>
  <r>
    <n v="2032"/>
    <x v="3"/>
    <s v="Band 7"/>
    <x v="3"/>
    <s v="Birmingham"/>
    <s v="Weekend"/>
    <s v="Full-time"/>
    <n v="39"/>
    <n v="0"/>
    <n v="2"/>
    <n v="4"/>
    <d v="2025-10-01T00:00:00"/>
    <x v="2"/>
    <n v="39"/>
    <d v="2025-10-01T00:00:00"/>
    <s v="Part-time"/>
    <s v="At Risk"/>
    <x v="0"/>
  </r>
  <r>
    <n v="2033"/>
    <x v="3"/>
    <s v="Band 7"/>
    <x v="3"/>
    <s v="Bristol"/>
    <s v="Weekend"/>
    <s v="Part-time"/>
    <n v="47"/>
    <n v="7"/>
    <n v="1"/>
    <n v="4"/>
    <d v="2025-09-17T00:00:00"/>
    <x v="2"/>
    <n v="47"/>
    <d v="2025-09-17T00:00:00"/>
    <s v="Full-time"/>
    <s v="At Risk"/>
    <x v="0"/>
  </r>
  <r>
    <n v="2034"/>
    <x v="2"/>
    <s v="Band 2"/>
    <x v="0"/>
    <s v="Birmingham"/>
    <s v="Night"/>
    <s v="Full-time"/>
    <n v="30"/>
    <n v="0"/>
    <n v="5"/>
    <n v="1"/>
    <d v="2025-11-04T00:00:00"/>
    <x v="0"/>
    <n v="30"/>
    <d v="2025-11-04T00:00:00"/>
    <s v="Part-time"/>
    <s v="At Risk"/>
    <x v="0"/>
  </r>
  <r>
    <n v="2035"/>
    <x v="3"/>
    <s v="Band 7"/>
    <x v="2"/>
    <s v="London"/>
    <s v="Day"/>
    <s v="Full-time"/>
    <n v="45"/>
    <n v="10"/>
    <n v="4"/>
    <n v="0"/>
    <d v="2025-11-06T00:00:00"/>
    <x v="1"/>
    <n v="45"/>
    <d v="2025-11-06T00:00:00"/>
    <s v="Full-time"/>
    <s v="At Risk"/>
    <x v="0"/>
  </r>
  <r>
    <n v="2036"/>
    <x v="5"/>
    <s v="Band 3"/>
    <x v="3"/>
    <s v="Unknown"/>
    <s v="Day"/>
    <s v="Part-time"/>
    <n v="33"/>
    <n v="0"/>
    <n v="6"/>
    <n v="3"/>
    <d v="2025-09-28T00:00:00"/>
    <x v="1"/>
    <n v="33"/>
    <d v="2025-09-28T00:00:00"/>
    <s v="Part-time"/>
    <s v="At Risk"/>
    <x v="0"/>
  </r>
  <r>
    <n v="2037"/>
    <x v="0"/>
    <s v="Band 6"/>
    <x v="1"/>
    <s v="Manchester"/>
    <s v="Night"/>
    <s v="Full-time"/>
    <n v="48"/>
    <n v="8"/>
    <n v="6"/>
    <n v="2"/>
    <d v="2025-10-19T00:00:00"/>
    <x v="0"/>
    <n v="48"/>
    <d v="2025-10-19T00:00:00"/>
    <s v="Full-time"/>
    <s v="At Risk"/>
    <x v="0"/>
  </r>
  <r>
    <n v="2038"/>
    <x v="2"/>
    <s v="Band 2"/>
    <x v="3"/>
    <s v="Leeds"/>
    <s v="Day"/>
    <s v="Full-time"/>
    <n v="51"/>
    <n v="11"/>
    <n v="5"/>
    <n v="3"/>
    <d v="2025-11-26T00:00:00"/>
    <x v="1"/>
    <n v="51"/>
    <d v="2025-11-26T00:00:00"/>
    <s v="Full-time"/>
    <s v="At Risk"/>
    <x v="1"/>
  </r>
  <r>
    <n v="2039"/>
    <x v="3"/>
    <s v="Band 7"/>
    <x v="2"/>
    <s v="Leeds"/>
    <s v="Weekend"/>
    <s v="Part-time"/>
    <n v="35"/>
    <n v="0"/>
    <n v="3"/>
    <n v="1"/>
    <d v="2025-10-14T00:00:00"/>
    <x v="2"/>
    <n v="35"/>
    <d v="2025-10-14T00:00:00"/>
    <s v="Part-time"/>
    <s v="OK"/>
    <x v="0"/>
  </r>
  <r>
    <n v="2040"/>
    <x v="4"/>
    <s v="Band 2"/>
    <x v="3"/>
    <s v="Birmingham"/>
    <s v="Weekend"/>
    <s v="Part-time"/>
    <n v="54"/>
    <n v="14"/>
    <n v="0"/>
    <n v="1"/>
    <d v="2025-10-11T00:00:00"/>
    <x v="2"/>
    <n v="54"/>
    <d v="2025-10-11T00:00:00"/>
    <s v="Full-time"/>
    <s v="OK"/>
    <x v="1"/>
  </r>
  <r>
    <n v="2041"/>
    <x v="2"/>
    <s v="Band 2"/>
    <x v="0"/>
    <s v="Unknown"/>
    <s v=" night "/>
    <s v="Part-time"/>
    <n v="35"/>
    <n v="0"/>
    <n v="3"/>
    <n v="3"/>
    <d v="2025-11-11T00:00:00"/>
    <x v="0"/>
    <n v="35"/>
    <d v="2025-11-11T00:00:00"/>
    <s v="Part-time"/>
    <s v="At Risk"/>
    <x v="0"/>
  </r>
  <r>
    <n v="2042"/>
    <x v="4"/>
    <s v="Band 2"/>
    <x v="3"/>
    <s v="London"/>
    <s v="Night"/>
    <s v="Full-time"/>
    <n v="45"/>
    <n v="0"/>
    <n v="5"/>
    <n v="0"/>
    <d v="2025-09-29T00:00:00"/>
    <x v="0"/>
    <n v="45"/>
    <d v="2025-09-29T00:00:00"/>
    <s v="Full-time"/>
    <s v="At Risk"/>
    <x v="0"/>
  </r>
  <r>
    <n v="2043"/>
    <x v="2"/>
    <s v="Band 2"/>
    <x v="2"/>
    <s v="Birmingham"/>
    <s v="Night"/>
    <s v="Part-time"/>
    <n v="43"/>
    <n v="3"/>
    <n v="6"/>
    <n v="3"/>
    <d v="2025-11-29T00:00:00"/>
    <x v="0"/>
    <n v="43"/>
    <d v="2025-11-29T00:00:00"/>
    <s v="Full-time"/>
    <s v="At Risk"/>
    <x v="0"/>
  </r>
  <r>
    <n v="2044"/>
    <x v="4"/>
    <s v="Band 2"/>
    <x v="3"/>
    <s v="Unknown"/>
    <s v="Night"/>
    <s v="Part-time"/>
    <n v="55"/>
    <n v="15"/>
    <n v="6"/>
    <n v="1"/>
    <d v="2025-11-25T00:00:00"/>
    <x v="0"/>
    <n v="55"/>
    <d v="2025-11-25T00:00:00"/>
    <s v="Full-time"/>
    <s v="At Risk"/>
    <x v="1"/>
  </r>
  <r>
    <n v="2045"/>
    <x v="0"/>
    <s v="Band 6"/>
    <x v="1"/>
    <s v="Bristol"/>
    <s v="Night"/>
    <s v="Part-time"/>
    <n v="60"/>
    <n v="20"/>
    <n v="5"/>
    <n v="1"/>
    <d v="2025-10-04T00:00:00"/>
    <x v="0"/>
    <n v="60"/>
    <d v="2025-10-04T00:00:00"/>
    <s v="Full-time"/>
    <s v="At Risk"/>
    <x v="1"/>
  </r>
  <r>
    <n v="2046"/>
    <x v="4"/>
    <s v="Band 2"/>
    <x v="2"/>
    <s v="Birmingham"/>
    <s v="Weekend"/>
    <s v="Part-time"/>
    <n v="34"/>
    <n v="0"/>
    <n v="6"/>
    <n v="4"/>
    <d v="2025-10-10T00:00:00"/>
    <x v="2"/>
    <n v="34"/>
    <d v="2025-10-10T00:00:00"/>
    <s v="Part-time"/>
    <s v="At Risk"/>
    <x v="0"/>
  </r>
  <r>
    <n v="2047"/>
    <x v="4"/>
    <s v="Band 2"/>
    <x v="1"/>
    <s v="Leeds"/>
    <s v="Weekend"/>
    <s v="Part-time"/>
    <n v="57"/>
    <n v="17"/>
    <n v="1"/>
    <n v="0"/>
    <d v="2025-09-04T00:00:00"/>
    <x v="2"/>
    <n v="57"/>
    <d v="2025-09-04T00:00:00"/>
    <s v="Full-time"/>
    <s v="OK"/>
    <x v="1"/>
  </r>
  <r>
    <n v="2048"/>
    <x v="2"/>
    <s v="Band 2"/>
    <x v="2"/>
    <s v="Leeds"/>
    <s v="Day"/>
    <s v="Part-time"/>
    <n v="39"/>
    <n v="0"/>
    <n v="4"/>
    <n v="4"/>
    <d v="2025-11-08T00:00:00"/>
    <x v="1"/>
    <n v="39"/>
    <d v="2025-11-08T00:00:00"/>
    <s v="Part-time"/>
    <s v="At Risk"/>
    <x v="0"/>
  </r>
  <r>
    <n v="2049"/>
    <x v="3"/>
    <s v="Band 7"/>
    <x v="0"/>
    <s v="Bristol"/>
    <s v="Weekend"/>
    <s v="Part-time"/>
    <n v="60"/>
    <n v="20"/>
    <n v="6"/>
    <n v="0"/>
    <d v="2025-11-14T00:00:00"/>
    <x v="2"/>
    <n v="60"/>
    <d v="2025-11-14T00:00:00"/>
    <s v="Full-time"/>
    <s v="At Risk"/>
    <x v="1"/>
  </r>
  <r>
    <n v="2050"/>
    <x v="2"/>
    <s v="Band 2"/>
    <x v="2"/>
    <s v="Birmingham"/>
    <s v="Day"/>
    <s v="Part-time"/>
    <n v="60"/>
    <n v="20"/>
    <n v="1"/>
    <n v="2"/>
    <d v="2025-11-05T00:00:00"/>
    <x v="1"/>
    <n v="60"/>
    <d v="2025-11-05T00:00:00"/>
    <s v="Full-time"/>
    <s v="OK"/>
    <x v="1"/>
  </r>
  <r>
    <n v="2051"/>
    <x v="0"/>
    <s v="Band 6"/>
    <x v="2"/>
    <s v="Birmingham"/>
    <s v="Weekend"/>
    <s v="Full-time"/>
    <n v="56"/>
    <n v="16"/>
    <n v="1"/>
    <n v="3"/>
    <d v="2025-09-14T00:00:00"/>
    <x v="2"/>
    <n v="56"/>
    <d v="2025-09-14T00:00:00"/>
    <s v="Full-time"/>
    <s v="At Risk"/>
    <x v="1"/>
  </r>
  <r>
    <n v="2052"/>
    <x v="1"/>
    <s v="Band 5"/>
    <x v="3"/>
    <s v="Birmingham"/>
    <s v="Day"/>
    <s v="Full-time"/>
    <n v="41"/>
    <n v="1"/>
    <n v="4"/>
    <n v="4"/>
    <d v="2025-10-19T00:00:00"/>
    <x v="1"/>
    <n v="41"/>
    <d v="2025-10-19T00:00:00"/>
    <s v="Full-time"/>
    <s v="At Risk"/>
    <x v="0"/>
  </r>
  <r>
    <n v="2053"/>
    <x v="1"/>
    <s v="Band 5"/>
    <x v="0"/>
    <s v="Leeds"/>
    <s v="Day"/>
    <s v="Part-time"/>
    <n v="60"/>
    <n v="20"/>
    <n v="2"/>
    <n v="2"/>
    <d v="2025-10-11T00:00:00"/>
    <x v="1"/>
    <n v="60"/>
    <d v="2025-10-11T00:00:00"/>
    <s v="Full-time"/>
    <s v="OK"/>
    <x v="1"/>
  </r>
  <r>
    <n v="2054"/>
    <x v="0"/>
    <s v="Band 6"/>
    <x v="0"/>
    <s v="Leeds"/>
    <s v="Day"/>
    <s v="Part-time"/>
    <n v="44"/>
    <n v="4"/>
    <n v="0"/>
    <n v="2"/>
    <d v="2025-11-09T00:00:00"/>
    <x v="1"/>
    <n v="44"/>
    <d v="2025-11-09T00:00:00"/>
    <s v="Full-time"/>
    <s v="OK"/>
    <x v="0"/>
  </r>
  <r>
    <n v="2055"/>
    <x v="0"/>
    <s v="Band 6"/>
    <x v="3"/>
    <s v="Bristol"/>
    <s v="Weekend"/>
    <s v="Part-time"/>
    <n v="54"/>
    <n v="14"/>
    <n v="5"/>
    <n v="2"/>
    <d v="2025-10-21T00:00:00"/>
    <x v="2"/>
    <n v="54"/>
    <d v="2025-10-21T00:00:00"/>
    <s v="Full-time"/>
    <s v="At Risk"/>
    <x v="1"/>
  </r>
  <r>
    <n v="2056"/>
    <x v="2"/>
    <s v="Band 2"/>
    <x v="0"/>
    <s v="London"/>
    <s v="Weekend"/>
    <s v="Part-time"/>
    <n v="46"/>
    <n v="6"/>
    <n v="4"/>
    <n v="1"/>
    <d v="2025-11-03T00:00:00"/>
    <x v="2"/>
    <n v="46"/>
    <d v="2025-11-03T00:00:00"/>
    <s v="Full-time"/>
    <s v="At Risk"/>
    <x v="0"/>
  </r>
  <r>
    <n v="2057"/>
    <x v="4"/>
    <s v="Band 2"/>
    <x v="2"/>
    <s v="Bristol"/>
    <s v="Weekend"/>
    <s v="Full-time"/>
    <n v="41"/>
    <n v="1"/>
    <n v="5"/>
    <n v="2"/>
    <d v="2025-09-28T00:00:00"/>
    <x v="2"/>
    <n v="41"/>
    <d v="2025-09-28T00:00:00"/>
    <s v="Full-time"/>
    <s v="At Risk"/>
    <x v="0"/>
  </r>
  <r>
    <n v="2058"/>
    <x v="1"/>
    <s v="Band 5"/>
    <x v="0"/>
    <s v="Bristol"/>
    <s v="Night"/>
    <s v="Full-time"/>
    <n v="49"/>
    <n v="9"/>
    <n v="5"/>
    <n v="0"/>
    <d v="2025-09-16T00:00:00"/>
    <x v="0"/>
    <n v="49"/>
    <d v="2025-09-16T00:00:00"/>
    <s v="Full-time"/>
    <s v="At Risk"/>
    <x v="0"/>
  </r>
  <r>
    <n v="2059"/>
    <x v="2"/>
    <s v="Band 2"/>
    <x v="2"/>
    <s v="London"/>
    <s v="Night"/>
    <s v="Part-time"/>
    <n v="53"/>
    <n v="13"/>
    <n v="6"/>
    <n v="4"/>
    <d v="2025-09-10T00:00:00"/>
    <x v="0"/>
    <n v="53"/>
    <d v="2025-09-10T00:00:00"/>
    <s v="Full-time"/>
    <s v="At Risk"/>
    <x v="1"/>
  </r>
  <r>
    <n v="2060"/>
    <x v="0"/>
    <s v="Band 6"/>
    <x v="2"/>
    <s v="London"/>
    <s v="Day"/>
    <s v="Part-time"/>
    <n v="48"/>
    <n v="8"/>
    <n v="0"/>
    <n v="4"/>
    <d v="2025-11-08T00:00:00"/>
    <x v="1"/>
    <n v="48"/>
    <d v="2025-11-08T00:00:00"/>
    <s v="Full-time"/>
    <s v="At Risk"/>
    <x v="0"/>
  </r>
  <r>
    <n v="2061"/>
    <x v="3"/>
    <s v="Band 7"/>
    <x v="1"/>
    <s v="Bristol"/>
    <s v="Night"/>
    <s v="Part-time"/>
    <n v="44"/>
    <n v="4"/>
    <n v="5"/>
    <n v="4"/>
    <d v="2025-09-07T00:00:00"/>
    <x v="0"/>
    <n v="44"/>
    <d v="2025-09-07T00:00:00"/>
    <s v="Full-time"/>
    <s v="At Risk"/>
    <x v="0"/>
  </r>
  <r>
    <n v="2062"/>
    <x v="0"/>
    <s v="Band 6"/>
    <x v="3"/>
    <s v="Birmingham"/>
    <s v="Night"/>
    <s v="Part-time"/>
    <n v="40"/>
    <n v="0"/>
    <n v="1"/>
    <n v="4"/>
    <d v="2025-10-09T00:00:00"/>
    <x v="0"/>
    <n v="40"/>
    <d v="2025-10-09T00:00:00"/>
    <s v="Full-time"/>
    <s v="At Risk"/>
    <x v="0"/>
  </r>
  <r>
    <n v="2063"/>
    <x v="0"/>
    <s v="Band 6"/>
    <x v="1"/>
    <s v="Leeds"/>
    <s v="Day"/>
    <s v="Full-time"/>
    <n v="50"/>
    <n v="10"/>
    <n v="1"/>
    <n v="0"/>
    <d v="2025-09-17T00:00:00"/>
    <x v="1"/>
    <n v="50"/>
    <d v="2025-09-17T00:00:00"/>
    <s v="Full-time"/>
    <s v="OK"/>
    <x v="0"/>
  </r>
  <r>
    <n v="2064"/>
    <x v="4"/>
    <s v="Band 2"/>
    <x v="3"/>
    <s v="London"/>
    <s v=" night "/>
    <s v="Full-time"/>
    <n v="41"/>
    <n v="1"/>
    <n v="2"/>
    <n v="1"/>
    <d v="2025-10-10T00:00:00"/>
    <x v="0"/>
    <n v="41"/>
    <d v="2025-10-10T00:00:00"/>
    <s v="Full-time"/>
    <s v="OK"/>
    <x v="0"/>
  </r>
  <r>
    <n v="2065"/>
    <x v="0"/>
    <s v="Band 6"/>
    <x v="1"/>
    <s v="Birmingham"/>
    <s v="Weekend"/>
    <s v="Part-time"/>
    <n v="47"/>
    <n v="7"/>
    <n v="1"/>
    <n v="3"/>
    <d v="2025-11-18T00:00:00"/>
    <x v="2"/>
    <n v="47"/>
    <d v="2025-11-18T00:00:00"/>
    <s v="Full-time"/>
    <s v="At Risk"/>
    <x v="0"/>
  </r>
  <r>
    <n v="2066"/>
    <x v="2"/>
    <s v="Band 2"/>
    <x v="0"/>
    <s v="Manchester"/>
    <s v="Night"/>
    <s v="Full-time"/>
    <n v="40"/>
    <n v="0"/>
    <n v="5"/>
    <n v="0"/>
    <d v="2025-10-31T00:00:00"/>
    <x v="0"/>
    <n v="40"/>
    <d v="2025-10-31T00:00:00"/>
    <s v="Full-time"/>
    <s v="At Risk"/>
    <x v="0"/>
  </r>
  <r>
    <n v="2067"/>
    <x v="2"/>
    <s v="Band 2"/>
    <x v="3"/>
    <s v="London"/>
    <s v="Weekend"/>
    <s v="Part-time"/>
    <n v="56"/>
    <n v="16"/>
    <n v="5"/>
    <n v="0"/>
    <d v="2025-09-04T00:00:00"/>
    <x v="2"/>
    <n v="56"/>
    <d v="2025-09-04T00:00:00"/>
    <s v="Full-time"/>
    <s v="At Risk"/>
    <x v="1"/>
  </r>
  <r>
    <n v="2068"/>
    <x v="1"/>
    <s v="Band 5"/>
    <x v="2"/>
    <s v="London"/>
    <s v="Night"/>
    <s v="Part-time"/>
    <n v="42"/>
    <n v="2"/>
    <n v="1"/>
    <n v="2"/>
    <d v="2025-10-22T00:00:00"/>
    <x v="0"/>
    <n v="42"/>
    <d v="2025-10-22T00:00:00"/>
    <s v="Full-time"/>
    <s v="OK"/>
    <x v="0"/>
  </r>
  <r>
    <n v="2069"/>
    <x v="2"/>
    <s v="Band 2"/>
    <x v="2"/>
    <s v="Manchester"/>
    <s v="Night"/>
    <s v="Full-time"/>
    <n v="50"/>
    <n v="10"/>
    <n v="5"/>
    <n v="4"/>
    <d v="2025-11-10T00:00:00"/>
    <x v="0"/>
    <n v="50"/>
    <d v="2025-11-10T00:00:00"/>
    <s v="Full-time"/>
    <s v="At Risk"/>
    <x v="0"/>
  </r>
  <r>
    <n v="2070"/>
    <x v="1"/>
    <s v="Band 5"/>
    <x v="1"/>
    <s v="Leeds"/>
    <s v="Night"/>
    <s v="Full-time"/>
    <n v="59"/>
    <n v="19"/>
    <n v="0"/>
    <n v="0"/>
    <d v="2025-11-14T00:00:00"/>
    <x v="0"/>
    <n v="59"/>
    <d v="2025-11-14T00:00:00"/>
    <s v="Full-time"/>
    <s v="OK"/>
    <x v="1"/>
  </r>
  <r>
    <n v="2071"/>
    <x v="1"/>
    <s v="Band 5"/>
    <x v="3"/>
    <s v="Bristol"/>
    <s v="Weekend"/>
    <s v="Part-time"/>
    <n v="34"/>
    <n v="0"/>
    <n v="6"/>
    <n v="3"/>
    <d v="2025-11-25T00:00:00"/>
    <x v="2"/>
    <n v="34"/>
    <d v="2025-11-25T00:00:00"/>
    <s v="Part-time"/>
    <s v="At Risk"/>
    <x v="0"/>
  </r>
  <r>
    <n v="2072"/>
    <x v="1"/>
    <s v="Band 5"/>
    <x v="1"/>
    <s v="London"/>
    <s v="Night"/>
    <s v="Full-time"/>
    <n v="39"/>
    <n v="0"/>
    <n v="3"/>
    <n v="0"/>
    <d v="2025-10-06T00:00:00"/>
    <x v="0"/>
    <n v="39"/>
    <d v="2025-10-06T00:00:00"/>
    <s v="Part-time"/>
    <s v="OK"/>
    <x v="0"/>
  </r>
  <r>
    <n v="2073"/>
    <x v="1"/>
    <s v="Band 5"/>
    <x v="0"/>
    <s v="Leeds"/>
    <s v="Weekend"/>
    <s v="Part-time"/>
    <n v="46"/>
    <n v="6"/>
    <n v="3"/>
    <n v="1"/>
    <d v="2025-10-25T00:00:00"/>
    <x v="2"/>
    <n v="46"/>
    <d v="2025-10-25T00:00:00"/>
    <s v="Full-time"/>
    <s v="OK"/>
    <x v="0"/>
  </r>
  <r>
    <n v="2074"/>
    <x v="3"/>
    <s v="Band 7"/>
    <x v="2"/>
    <s v="Bristol"/>
    <s v="Weekend"/>
    <s v="Full-time"/>
    <n v="48"/>
    <n v="8"/>
    <n v="3"/>
    <n v="1"/>
    <d v="2025-11-21T00:00:00"/>
    <x v="2"/>
    <n v="48"/>
    <d v="2025-11-21T00:00:00"/>
    <s v="Full-time"/>
    <s v="OK"/>
    <x v="0"/>
  </r>
  <r>
    <n v="2075"/>
    <x v="5"/>
    <s v="Band 3"/>
    <x v="1"/>
    <s v="Bristol"/>
    <s v="Day"/>
    <s v="Part-time"/>
    <n v="59"/>
    <n v="19"/>
    <n v="2"/>
    <n v="4"/>
    <d v="2025-09-01T00:00:00"/>
    <x v="1"/>
    <n v="59"/>
    <d v="2025-09-01T00:00:00"/>
    <s v="Full-time"/>
    <s v="At Risk"/>
    <x v="1"/>
  </r>
  <r>
    <n v="2076"/>
    <x v="2"/>
    <s v="Band 2"/>
    <x v="3"/>
    <s v="Leeds"/>
    <s v="Weekend"/>
    <s v="Full-time"/>
    <n v="45"/>
    <n v="17"/>
    <n v="6"/>
    <n v="0"/>
    <d v="2025-11-21T00:00:00"/>
    <x v="2"/>
    <n v="45"/>
    <d v="2025-11-21T00:00:00"/>
    <s v="Full-time"/>
    <s v="At Risk"/>
    <x v="1"/>
  </r>
  <r>
    <n v="2077"/>
    <x v="2"/>
    <s v="Band 2"/>
    <x v="1"/>
    <s v="London"/>
    <s v="Weekend"/>
    <s v="Part-time"/>
    <n v="58"/>
    <n v="18"/>
    <n v="5"/>
    <n v="3"/>
    <d v="2025-10-02T00:00:00"/>
    <x v="2"/>
    <n v="58"/>
    <d v="2025-10-02T00:00:00"/>
    <s v="Full-time"/>
    <s v="At Risk"/>
    <x v="1"/>
  </r>
  <r>
    <n v="2078"/>
    <x v="0"/>
    <s v="Band 6"/>
    <x v="3"/>
    <s v="Birmingham"/>
    <s v="Night"/>
    <s v="Full-time"/>
    <n v="30"/>
    <n v="0"/>
    <n v="0"/>
    <n v="3"/>
    <d v="2025-09-21T00:00:00"/>
    <x v="0"/>
    <n v="30"/>
    <d v="2025-09-21T00:00:00"/>
    <s v="Part-time"/>
    <s v="At Risk"/>
    <x v="0"/>
  </r>
  <r>
    <n v="2079"/>
    <x v="1"/>
    <s v="Band 5"/>
    <x v="0"/>
    <s v="London"/>
    <s v="Night"/>
    <s v="Full-time"/>
    <n v="55"/>
    <n v="15"/>
    <n v="4"/>
    <n v="0"/>
    <d v="2025-09-26T00:00:00"/>
    <x v="0"/>
    <n v="55"/>
    <d v="2025-09-26T00:00:00"/>
    <s v="Full-time"/>
    <s v="At Risk"/>
    <x v="1"/>
  </r>
  <r>
    <n v="2080"/>
    <x v="2"/>
    <s v="Band 2"/>
    <x v="1"/>
    <s v="Birmingham"/>
    <s v="Day"/>
    <s v="Full-time"/>
    <n v="48"/>
    <n v="8"/>
    <n v="3"/>
    <n v="2"/>
    <d v="2025-10-01T00:00:00"/>
    <x v="1"/>
    <n v="48"/>
    <d v="2025-10-01T00:00:00"/>
    <s v="Full-time"/>
    <s v="OK"/>
    <x v="0"/>
  </r>
  <r>
    <n v="2081"/>
    <x v="5"/>
    <s v="Band 3"/>
    <x v="2"/>
    <s v="Leeds"/>
    <s v="Day"/>
    <s v="Full-time"/>
    <n v="47"/>
    <n v="7"/>
    <n v="3"/>
    <n v="2"/>
    <d v="2025-11-11T00:00:00"/>
    <x v="1"/>
    <n v="47"/>
    <d v="2025-11-11T00:00:00"/>
    <s v="Full-time"/>
    <s v="OK"/>
    <x v="0"/>
  </r>
  <r>
    <n v="2082"/>
    <x v="1"/>
    <s v="Band 5"/>
    <x v="3"/>
    <s v="Birmingham"/>
    <s v="Day"/>
    <s v="Full-time"/>
    <n v="58"/>
    <n v="18"/>
    <n v="3"/>
    <n v="1"/>
    <d v="2025-09-01T00:00:00"/>
    <x v="1"/>
    <n v="58"/>
    <d v="2025-09-01T00:00:00"/>
    <s v="Full-time"/>
    <s v="OK"/>
    <x v="1"/>
  </r>
  <r>
    <n v="2083"/>
    <x v="1"/>
    <s v="Band 5"/>
    <x v="1"/>
    <s v="Bristol"/>
    <s v="Weekend"/>
    <s v="Part-time"/>
    <n v="37"/>
    <n v="0"/>
    <n v="3"/>
    <n v="2"/>
    <d v="2025-11-27T00:00:00"/>
    <x v="2"/>
    <n v="37"/>
    <d v="2025-11-27T00:00:00"/>
    <s v="Part-time"/>
    <s v="OK"/>
    <x v="0"/>
  </r>
  <r>
    <n v="2084"/>
    <x v="0"/>
    <s v="Band 6"/>
    <x v="0"/>
    <s v="Manchester"/>
    <s v="Day"/>
    <s v="Full-time"/>
    <n v="55"/>
    <n v="15"/>
    <n v="2"/>
    <n v="0"/>
    <d v="2025-09-03T00:00:00"/>
    <x v="1"/>
    <n v="55"/>
    <d v="2025-09-03T00:00:00"/>
    <s v="Full-time"/>
    <s v="OK"/>
    <x v="1"/>
  </r>
  <r>
    <n v="2085"/>
    <x v="2"/>
    <s v="Band 2"/>
    <x v="0"/>
    <s v="Manchester"/>
    <s v="Day"/>
    <s v="Part-time"/>
    <n v="32"/>
    <n v="0"/>
    <n v="2"/>
    <n v="4"/>
    <d v="2025-09-11T00:00:00"/>
    <x v="1"/>
    <n v="32"/>
    <d v="2025-09-11T00:00:00"/>
    <s v="Part-time"/>
    <s v="At Risk"/>
    <x v="0"/>
  </r>
  <r>
    <n v="2086"/>
    <x v="2"/>
    <s v="Band 2"/>
    <x v="0"/>
    <s v="Leeds"/>
    <s v="Weekend"/>
    <s v="Full-time"/>
    <n v="45"/>
    <n v="5"/>
    <n v="0"/>
    <n v="0"/>
    <d v="2025-09-17T00:00:00"/>
    <x v="2"/>
    <n v="45"/>
    <d v="2025-09-17T00:00:00"/>
    <s v="Full-time"/>
    <s v="OK"/>
    <x v="0"/>
  </r>
  <r>
    <n v="2087"/>
    <x v="0"/>
    <s v="Band 6"/>
    <x v="1"/>
    <s v="London"/>
    <s v="Weekend"/>
    <s v="Full-time"/>
    <n v="35"/>
    <n v="0"/>
    <n v="1"/>
    <n v="3"/>
    <d v="2025-11-15T00:00:00"/>
    <x v="2"/>
    <n v="35"/>
    <d v="2025-11-15T00:00:00"/>
    <s v="Part-time"/>
    <s v="At Risk"/>
    <x v="0"/>
  </r>
  <r>
    <n v="2088"/>
    <x v="2"/>
    <s v="Band 2"/>
    <x v="1"/>
    <s v="Bristol"/>
    <s v="Night"/>
    <s v="Part-time"/>
    <n v="40"/>
    <n v="0"/>
    <n v="1"/>
    <n v="1"/>
    <d v="2025-09-08T00:00:00"/>
    <x v="0"/>
    <n v="40"/>
    <d v="2025-09-08T00:00:00"/>
    <s v="Full-time"/>
    <s v="OK"/>
    <x v="0"/>
  </r>
  <r>
    <n v="2089"/>
    <x v="5"/>
    <s v="Band 3"/>
    <x v="3"/>
    <s v="London"/>
    <s v="Night"/>
    <s v="Part-time"/>
    <n v="54"/>
    <n v="14"/>
    <n v="0"/>
    <n v="1"/>
    <d v="2025-10-09T00:00:00"/>
    <x v="0"/>
    <n v="54"/>
    <d v="2025-10-09T00:00:00"/>
    <s v="Full-time"/>
    <s v="OK"/>
    <x v="1"/>
  </r>
  <r>
    <n v="2090"/>
    <x v="4"/>
    <s v="Band 2"/>
    <x v="2"/>
    <s v="London"/>
    <s v="Day"/>
    <s v="Part-time"/>
    <n v="44"/>
    <n v="4"/>
    <n v="0"/>
    <n v="1"/>
    <d v="2025-09-28T00:00:00"/>
    <x v="1"/>
    <n v="44"/>
    <d v="2025-09-28T00:00:00"/>
    <s v="Full-time"/>
    <s v="OK"/>
    <x v="0"/>
  </r>
  <r>
    <n v="2091"/>
    <x v="5"/>
    <s v="Band 3"/>
    <x v="3"/>
    <s v="London"/>
    <s v="Night"/>
    <s v="Full-time"/>
    <n v="43"/>
    <n v="3"/>
    <n v="0"/>
    <n v="1"/>
    <d v="2025-09-10T00:00:00"/>
    <x v="0"/>
    <n v="43"/>
    <d v="2025-09-10T00:00:00"/>
    <s v="Full-time"/>
    <s v="OK"/>
    <x v="0"/>
  </r>
  <r>
    <n v="2092"/>
    <x v="1"/>
    <s v="Band 5"/>
    <x v="2"/>
    <s v="London"/>
    <s v="Weekend"/>
    <s v="Part-time"/>
    <n v="57"/>
    <n v="17"/>
    <n v="4"/>
    <n v="2"/>
    <d v="2025-10-28T00:00:00"/>
    <x v="2"/>
    <n v="57"/>
    <d v="2025-10-28T00:00:00"/>
    <s v="Full-time"/>
    <s v="At Risk"/>
    <x v="1"/>
  </r>
  <r>
    <n v="2093"/>
    <x v="1"/>
    <s v="Band 5"/>
    <x v="0"/>
    <s v="Bristol"/>
    <s v="Day"/>
    <s v="Part-time"/>
    <n v="46"/>
    <n v="6"/>
    <n v="1"/>
    <n v="2"/>
    <d v="2025-09-24T00:00:00"/>
    <x v="1"/>
    <n v="46"/>
    <d v="2025-09-24T00:00:00"/>
    <s v="Full-time"/>
    <s v="OK"/>
    <x v="0"/>
  </r>
  <r>
    <n v="2094"/>
    <x v="3"/>
    <s v="Band 7"/>
    <x v="2"/>
    <s v="London"/>
    <s v="Weekend"/>
    <s v="Part-time"/>
    <n v="55"/>
    <n v="15"/>
    <n v="3"/>
    <n v="0"/>
    <d v="2025-11-16T00:00:00"/>
    <x v="2"/>
    <n v="55"/>
    <d v="2025-11-16T00:00:00"/>
    <s v="Full-time"/>
    <s v="OK"/>
    <x v="1"/>
  </r>
  <r>
    <n v="2095"/>
    <x v="3"/>
    <s v="Band 7"/>
    <x v="1"/>
    <s v="Bristol"/>
    <s v="Day"/>
    <s v="Full-time"/>
    <n v="41"/>
    <n v="1"/>
    <n v="5"/>
    <n v="4"/>
    <d v="2025-11-19T00:00:00"/>
    <x v="1"/>
    <n v="41"/>
    <d v="2025-11-19T00:00:00"/>
    <s v="Full-time"/>
    <s v="At Risk"/>
    <x v="0"/>
  </r>
  <r>
    <n v="2096"/>
    <x v="3"/>
    <s v="Band 7"/>
    <x v="0"/>
    <s v="Bristol"/>
    <s v="Day"/>
    <s v="Full-time"/>
    <n v="50"/>
    <n v="10"/>
    <n v="5"/>
    <n v="4"/>
    <d v="2025-10-17T00:00:00"/>
    <x v="1"/>
    <n v="50"/>
    <d v="2025-10-17T00:00:00"/>
    <s v="Full-time"/>
    <s v="At Risk"/>
    <x v="0"/>
  </r>
  <r>
    <n v="2097"/>
    <x v="0"/>
    <s v="Band 6"/>
    <x v="0"/>
    <s v="Manchester"/>
    <s v="Day"/>
    <s v="Part-time"/>
    <n v="44"/>
    <n v="4"/>
    <n v="5"/>
    <n v="4"/>
    <d v="2025-09-21T00:00:00"/>
    <x v="1"/>
    <n v="44"/>
    <d v="2025-09-21T00:00:00"/>
    <s v="Full-time"/>
    <s v="At Risk"/>
    <x v="0"/>
  </r>
  <r>
    <n v="2098"/>
    <x v="3"/>
    <s v="Band 7"/>
    <x v="1"/>
    <s v="Manchester"/>
    <s v="Day"/>
    <s v="Part-time"/>
    <n v="47"/>
    <n v="7"/>
    <n v="1"/>
    <n v="2"/>
    <d v="2025-09-13T00:00:00"/>
    <x v="1"/>
    <n v="47"/>
    <d v="2025-09-13T00:00:00"/>
    <s v="Full-time"/>
    <s v="OK"/>
    <x v="0"/>
  </r>
  <r>
    <n v="2099"/>
    <x v="0"/>
    <s v="Band 6"/>
    <x v="0"/>
    <s v="Leeds"/>
    <s v="Night"/>
    <s v="Part-time"/>
    <n v="42"/>
    <n v="2"/>
    <n v="2"/>
    <n v="2"/>
    <d v="2025-10-08T00:00:00"/>
    <x v="0"/>
    <n v="42"/>
    <d v="2025-10-08T00:00:00"/>
    <s v="Full-time"/>
    <s v="OK"/>
    <x v="0"/>
  </r>
  <r>
    <n v="2100"/>
    <x v="4"/>
    <s v="Band 2"/>
    <x v="3"/>
    <s v="Manchester"/>
    <s v="Day"/>
    <s v="Part-time"/>
    <n v="54"/>
    <n v="14"/>
    <n v="1"/>
    <n v="1"/>
    <d v="2025-10-26T00:00:00"/>
    <x v="1"/>
    <n v="54"/>
    <d v="2025-10-26T00:00:00"/>
    <s v="Full-time"/>
    <s v="OK"/>
    <x v="1"/>
  </r>
  <r>
    <n v="2101"/>
    <x v="0"/>
    <s v="Band 6"/>
    <x v="3"/>
    <s v="Leeds"/>
    <s v="Weekend"/>
    <s v="Full-time"/>
    <n v="31"/>
    <n v="0"/>
    <n v="2"/>
    <n v="0"/>
    <d v="2025-09-16T00:00:00"/>
    <x v="2"/>
    <n v="31"/>
    <d v="2025-09-16T00:00:00"/>
    <s v="Part-time"/>
    <s v="OK"/>
    <x v="0"/>
  </r>
  <r>
    <n v="2102"/>
    <x v="5"/>
    <s v="Band 3"/>
    <x v="1"/>
    <s v="Manchester"/>
    <s v="Day"/>
    <s v="Part-time"/>
    <n v="45"/>
    <n v="5"/>
    <n v="0"/>
    <n v="1"/>
    <d v="2025-09-03T00:00:00"/>
    <x v="1"/>
    <n v="45"/>
    <d v="2025-09-03T00:00:00"/>
    <s v="Full-time"/>
    <s v="OK"/>
    <x v="0"/>
  </r>
  <r>
    <n v="2103"/>
    <x v="0"/>
    <s v="Band 6"/>
    <x v="1"/>
    <s v="Manchester"/>
    <s v="Night"/>
    <s v="Part-time"/>
    <n v="36"/>
    <n v="0"/>
    <n v="1"/>
    <n v="0"/>
    <d v="2025-09-30T00:00:00"/>
    <x v="0"/>
    <n v="36"/>
    <d v="2025-09-30T00:00:00"/>
    <s v="Part-time"/>
    <s v="OK"/>
    <x v="0"/>
  </r>
  <r>
    <n v="2104"/>
    <x v="1"/>
    <s v="Band 5"/>
    <x v="1"/>
    <s v="Bristol"/>
    <s v="Night"/>
    <s v="Part-time"/>
    <n v="45"/>
    <n v="6"/>
    <n v="3"/>
    <n v="1"/>
    <d v="2025-09-16T00:00:00"/>
    <x v="0"/>
    <n v="45"/>
    <d v="2025-09-16T00:00:00"/>
    <s v="Full-time"/>
    <s v="OK"/>
    <x v="0"/>
  </r>
  <r>
    <n v="2105"/>
    <x v="1"/>
    <s v="Band 5"/>
    <x v="2"/>
    <s v="Birmingham"/>
    <s v="Day"/>
    <s v="Full-time"/>
    <n v="52"/>
    <n v="12"/>
    <n v="3"/>
    <n v="0"/>
    <d v="2025-11-22T00:00:00"/>
    <x v="1"/>
    <n v="52"/>
    <d v="2025-11-22T00:00:00"/>
    <s v="Full-time"/>
    <s v="OK"/>
    <x v="1"/>
  </r>
  <r>
    <n v="2106"/>
    <x v="4"/>
    <s v="Band 2"/>
    <x v="0"/>
    <s v="Birmingham"/>
    <s v="Weekend"/>
    <s v="Full-time"/>
    <n v="54"/>
    <n v="14"/>
    <n v="1"/>
    <n v="2"/>
    <d v="2025-09-27T00:00:00"/>
    <x v="2"/>
    <n v="54"/>
    <d v="2025-09-27T00:00:00"/>
    <s v="Full-time"/>
    <s v="OK"/>
    <x v="1"/>
  </r>
  <r>
    <n v="2107"/>
    <x v="4"/>
    <s v="Band 2"/>
    <x v="0"/>
    <s v="London"/>
    <s v="Day"/>
    <s v="Full-time"/>
    <n v="40"/>
    <n v="0"/>
    <n v="0"/>
    <n v="4"/>
    <d v="2025-10-03T00:00:00"/>
    <x v="1"/>
    <n v="40"/>
    <d v="2025-10-03T00:00:00"/>
    <s v="Full-time"/>
    <s v="At Risk"/>
    <x v="0"/>
  </r>
  <r>
    <n v="2108"/>
    <x v="2"/>
    <s v="Band 2"/>
    <x v="2"/>
    <s v="Leeds"/>
    <s v="Day"/>
    <s v="Part-time"/>
    <n v="37"/>
    <n v="0"/>
    <n v="4"/>
    <n v="3"/>
    <d v="2025-11-24T00:00:00"/>
    <x v="1"/>
    <n v="37"/>
    <d v="2025-11-24T00:00:00"/>
    <s v="Part-time"/>
    <s v="At Risk"/>
    <x v="0"/>
  </r>
  <r>
    <n v="2109"/>
    <x v="0"/>
    <s v="Band 6"/>
    <x v="0"/>
    <s v="London"/>
    <s v="Day"/>
    <s v="Part-time"/>
    <n v="45"/>
    <n v="5"/>
    <n v="5"/>
    <n v="3"/>
    <d v="2025-09-15T00:00:00"/>
    <x v="1"/>
    <n v="45"/>
    <d v="2025-09-15T00:00:00"/>
    <s v="Full-time"/>
    <s v="At Risk"/>
    <x v="0"/>
  </r>
  <r>
    <n v="2110"/>
    <x v="4"/>
    <s v="Band 2"/>
    <x v="1"/>
    <s v="Birmingham"/>
    <s v="Day"/>
    <s v="Full-time"/>
    <n v="35"/>
    <n v="0"/>
    <n v="1"/>
    <n v="4"/>
    <d v="2025-10-05T00:00:00"/>
    <x v="1"/>
    <n v="35"/>
    <d v="2025-10-05T00:00:00"/>
    <s v="Part-time"/>
    <s v="At Risk"/>
    <x v="0"/>
  </r>
  <r>
    <n v="2111"/>
    <x v="3"/>
    <s v="Band 7"/>
    <x v="1"/>
    <s v="Bristol"/>
    <s v="Weekend"/>
    <s v="Full-time"/>
    <n v="49"/>
    <n v="9"/>
    <n v="2"/>
    <n v="2"/>
    <d v="2025-11-25T00:00:00"/>
    <x v="2"/>
    <n v="49"/>
    <d v="2025-11-25T00:00:00"/>
    <s v="Full-time"/>
    <s v="OK"/>
    <x v="0"/>
  </r>
  <r>
    <n v="2112"/>
    <x v="3"/>
    <s v="Band 7"/>
    <x v="3"/>
    <s v="Manchester"/>
    <s v="Night"/>
    <s v="Full-time"/>
    <n v="44"/>
    <n v="4"/>
    <n v="0"/>
    <n v="4"/>
    <d v="2025-10-01T00:00:00"/>
    <x v="0"/>
    <n v="44"/>
    <d v="2025-10-01T00:00:00"/>
    <s v="Full-time"/>
    <s v="At Risk"/>
    <x v="0"/>
  </r>
  <r>
    <n v="2113"/>
    <x v="0"/>
    <s v="Band 6"/>
    <x v="1"/>
    <s v="Leeds"/>
    <s v="Day"/>
    <s v="Full-time"/>
    <n v="47"/>
    <n v="7"/>
    <n v="6"/>
    <n v="2"/>
    <d v="2025-11-01T00:00:00"/>
    <x v="1"/>
    <n v="47"/>
    <d v="2025-11-01T00:00:00"/>
    <s v="Full-time"/>
    <s v="At Risk"/>
    <x v="0"/>
  </r>
  <r>
    <n v="2114"/>
    <x v="0"/>
    <s v="Band 6"/>
    <x v="3"/>
    <s v="Bristol"/>
    <s v="Weekend"/>
    <s v="Full-time"/>
    <n v="53"/>
    <n v="13"/>
    <n v="1"/>
    <n v="4"/>
    <d v="2025-10-29T00:00:00"/>
    <x v="2"/>
    <n v="53"/>
    <d v="2025-10-29T00:00:00"/>
    <s v="Full-time"/>
    <s v="At Risk"/>
    <x v="1"/>
  </r>
  <r>
    <n v="2115"/>
    <x v="2"/>
    <s v="Band 2"/>
    <x v="1"/>
    <s v="Leeds"/>
    <s v="Day"/>
    <s v="Full-time"/>
    <n v="40"/>
    <n v="0"/>
    <n v="3"/>
    <n v="1"/>
    <d v="2025-11-22T00:00:00"/>
    <x v="1"/>
    <n v="40"/>
    <d v="2025-11-22T00:00:00"/>
    <s v="Full-time"/>
    <s v="OK"/>
    <x v="0"/>
  </r>
  <r>
    <n v="2116"/>
    <x v="2"/>
    <s v="Band 2"/>
    <x v="1"/>
    <s v="Manchester"/>
    <s v="Weekend"/>
    <s v="Full-time"/>
    <n v="55"/>
    <n v="15"/>
    <n v="2"/>
    <n v="3"/>
    <d v="2025-10-17T00:00:00"/>
    <x v="2"/>
    <n v="55"/>
    <d v="2025-10-17T00:00:00"/>
    <s v="Full-time"/>
    <s v="At Risk"/>
    <x v="1"/>
  </r>
  <r>
    <n v="2117"/>
    <x v="5"/>
    <s v="Band 3"/>
    <x v="1"/>
    <s v="Manchester"/>
    <s v="Day"/>
    <s v="Part-time"/>
    <n v="40"/>
    <n v="0"/>
    <n v="4"/>
    <n v="4"/>
    <d v="2025-09-04T00:00:00"/>
    <x v="1"/>
    <n v="40"/>
    <d v="2025-09-04T00:00:00"/>
    <s v="Full-time"/>
    <s v="At Risk"/>
    <x v="0"/>
  </r>
  <r>
    <n v="2118"/>
    <x v="5"/>
    <s v="Band 3"/>
    <x v="2"/>
    <s v="Manchester"/>
    <s v="Day"/>
    <s v="Part-time"/>
    <n v="48"/>
    <n v="8"/>
    <n v="3"/>
    <n v="3"/>
    <d v="2025-10-05T00:00:00"/>
    <x v="1"/>
    <n v="48"/>
    <d v="2025-10-05T00:00:00"/>
    <s v="Full-time"/>
    <s v="At Risk"/>
    <x v="0"/>
  </r>
  <r>
    <n v="2119"/>
    <x v="4"/>
    <s v="Band 2"/>
    <x v="2"/>
    <s v="Birmingham"/>
    <s v="Day"/>
    <s v="Part-time"/>
    <n v="51"/>
    <n v="11"/>
    <n v="0"/>
    <n v="2"/>
    <d v="2025-11-01T00:00:00"/>
    <x v="1"/>
    <n v="51"/>
    <d v="2025-11-01T00:00:00"/>
    <s v="Full-time"/>
    <s v="OK"/>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F7224B-7CAB-B04A-9265-B14C4FF67B1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ole Labels">
  <location ref="C6:D12" firstHeaderRow="1" firstDataRow="1" firstDataCol="1"/>
  <pivotFields count="18">
    <pivotField dataField="1" showAll="0"/>
    <pivotField axis="axisRow" showAll="0">
      <items count="7">
        <item x="4"/>
        <item x="3"/>
        <item x="1"/>
        <item x="5"/>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4">
        <item h="1" x="1"/>
        <item h="1" x="0"/>
        <item x="2"/>
        <item t="default"/>
      </items>
    </pivotField>
    <pivotField showAll="0"/>
    <pivotField numFmtId="14" showAll="0"/>
    <pivotField showAll="0"/>
    <pivotField showAll="0"/>
    <pivotField showAll="0"/>
  </pivotFields>
  <rowFields count="1">
    <field x="1"/>
  </rowFields>
  <rowItems count="6">
    <i>
      <x/>
    </i>
    <i>
      <x v="1"/>
    </i>
    <i>
      <x v="2"/>
    </i>
    <i>
      <x v="4"/>
    </i>
    <i>
      <x v="5"/>
    </i>
    <i t="grand">
      <x/>
    </i>
  </rowItems>
  <colItems count="1">
    <i/>
  </colItems>
  <dataFields count="1">
    <dataField name="Count of StaffID" fld="0" subtotal="count"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32B1B4-00A0-774C-9DEC-FBCC786834E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5:G10" firstHeaderRow="1" firstDataRow="1" firstDataCol="1"/>
  <pivotFields count="18">
    <pivotField showAll="0"/>
    <pivotField showAll="0"/>
    <pivotField showAll="0"/>
    <pivotField axis="axisRow" showAll="0">
      <items count="5">
        <item x="3"/>
        <item x="2"/>
        <item x="1"/>
        <item x="0"/>
        <item t="default"/>
      </items>
    </pivotField>
    <pivotField showAll="0"/>
    <pivotField showAll="0"/>
    <pivotField showAll="0"/>
    <pivotField showAll="0"/>
    <pivotField dataField="1" showAll="0"/>
    <pivotField showAll="0"/>
    <pivotField showAll="0"/>
    <pivotField numFmtId="14" showAll="0"/>
    <pivotField showAll="0">
      <items count="4">
        <item h="1" x="1"/>
        <item h="1" x="0"/>
        <item x="2"/>
        <item t="default"/>
      </items>
    </pivotField>
    <pivotField showAll="0"/>
    <pivotField numFmtId="14" showAll="0"/>
    <pivotField showAll="0"/>
    <pivotField showAll="0"/>
    <pivotField showAll="0"/>
  </pivotFields>
  <rowFields count="1">
    <field x="3"/>
  </rowFields>
  <rowItems count="5">
    <i>
      <x/>
    </i>
    <i>
      <x v="1"/>
    </i>
    <i>
      <x v="2"/>
    </i>
    <i>
      <x v="3"/>
    </i>
    <i t="grand">
      <x/>
    </i>
  </rowItems>
  <colItems count="1">
    <i/>
  </colItems>
  <dataFields count="1">
    <dataField name="Sum of OvertimeHours" fld="8" baseField="0" baseItem="0"/>
  </dataFields>
  <formats count="6">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grandRow="1" outline="0" fieldPosition="0"/>
    </format>
    <format dxfId="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481524-AEAC-7C42-A199-916C1611C3E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showAll="0"/>
    <pivotField numFmtId="14" showAll="0"/>
    <pivotField showAll="0">
      <items count="4">
        <item h="1" x="1"/>
        <item h="1" x="0"/>
        <item x="2"/>
        <item t="default"/>
      </items>
    </pivotField>
    <pivotField showAll="0"/>
    <pivotField numFmtId="14" showAll="0"/>
    <pivotField showAll="0"/>
    <pivotField showAll="0"/>
    <pivotField axis="axisRow" showAll="0">
      <items count="3">
        <item x="1"/>
        <item x="0"/>
        <item t="default"/>
      </items>
    </pivotField>
  </pivotFields>
  <rowFields count="1">
    <field x="17"/>
  </rowFields>
  <rowItems count="3">
    <i>
      <x/>
    </i>
    <i>
      <x v="1"/>
    </i>
    <i t="grand">
      <x/>
    </i>
  </rowItems>
  <colItems count="1">
    <i/>
  </colItems>
  <dataFields count="1">
    <dataField name="Count of StaffID" fld="0" subtotal="count" baseField="0" baseItem="0"/>
  </dataFields>
  <formats count="6">
    <format dxfId="25">
      <pivotArea type="all" dataOnly="0" outline="0" fieldPosition="0"/>
    </format>
    <format dxfId="24">
      <pivotArea outline="0" collapsedLevelsAreSubtotals="1" fieldPosition="0"/>
    </format>
    <format dxfId="23">
      <pivotArea field="17" type="button" dataOnly="0" labelOnly="1" outline="0" axis="axisRow" fieldPosition="0"/>
    </format>
    <format dxfId="22">
      <pivotArea dataOnly="0" labelOnly="1" fieldPosition="0">
        <references count="1">
          <reference field="17" count="0"/>
        </references>
      </pivotArea>
    </format>
    <format dxfId="21">
      <pivotArea dataOnly="0" labelOnly="1" grandRow="1" outline="0" fieldPosition="0"/>
    </format>
    <format dxfId="20">
      <pivotArea dataOnly="0" labelOnly="1" outline="0" axis="axisValues" fieldPosition="0"/>
    </format>
  </format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7" count="1" selected="0">
            <x v="1"/>
          </reference>
        </references>
      </pivotArea>
    </chartFormat>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17" count="1" selected="0">
            <x v="0"/>
          </reference>
        </references>
      </pivotArea>
    </chartFormat>
    <chartFormat chart="13" format="13">
      <pivotArea type="data" outline="0" fieldPosition="0">
        <references count="2">
          <reference field="4294967294" count="1" selected="0">
            <x v="0"/>
          </reference>
          <reference field="17" count="1" selected="0">
            <x v="1"/>
          </reference>
        </references>
      </pivotArea>
    </chartFormat>
    <chartFormat chart="4" format="2">
      <pivotArea type="data" outline="0" fieldPosition="0">
        <references count="2">
          <reference field="4294967294" count="1" selected="0">
            <x v="0"/>
          </reference>
          <reference field="17"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0F51805-CFBE-C949-A796-A78B488141D4}" autoFormatId="16" applyNumberFormats="0" applyBorderFormats="0" applyFontFormats="0" applyPatternFormats="0" applyAlignmentFormats="0" applyWidthHeightFormats="0">
  <queryTableRefresh nextId="20" unboundColumnsRight="6">
    <queryTableFields count="18">
      <queryTableField id="1" name="StaffID" tableColumnId="1"/>
      <queryTableField id="2" name="Role" tableColumnId="2"/>
      <queryTableField id="3" name="Band" tableColumnId="3"/>
      <queryTableField id="4" name="Department" tableColumnId="4"/>
      <queryTableField id="5" name="Location" tableColumnId="5"/>
      <queryTableField id="6" name="ShiftType" tableColumnId="6"/>
      <queryTableField id="7" name="ContractType" tableColumnId="7"/>
      <queryTableField id="8" name="HoursWorked" tableColumnId="8"/>
      <queryTableField id="9" name="OvertimeHours" tableColumnId="9"/>
      <queryTableField id="10" name="AbsenceDays" tableColumnId="10"/>
      <queryTableField id="11" name="LateDays" tableColumnId="11"/>
      <queryTableField id="12" name="StartDate" tableColumnId="12"/>
      <queryTableField id="13" dataBound="0" tableColumnId="13"/>
      <queryTableField id="14" dataBound="0" tableColumnId="14"/>
      <queryTableField id="15" dataBound="0" tableColumnId="15"/>
      <queryTableField id="16" dataBound="0" tableColumnId="16"/>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Type_Clean" xr10:uid="{6904217D-138E-3546-8DC2-86ABCB2EC75D}" sourceName="ShiftType_Clean">
  <pivotTables>
    <pivotTable tabId="3" name="PivotTable1"/>
    <pivotTable tabId="7" name="PivotTable2"/>
    <pivotTable tabId="10" name="PivotTable4"/>
  </pivotTables>
  <data>
    <tabular pivotCacheId="874271643">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Type_Clean" xr10:uid="{868C9F7A-51C7-7545-99ED-5E88A6D590B1}" cache="Slicer_ShiftType_Clean" caption="ShiftType_Clea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Type_Clean 1" xr10:uid="{95441E62-29CD-EE41-989E-F991DAFDACA8}" cache="Slicer_ShiftType_Clean" caption="ShiftType_Clean" style="SlicerStyleDark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81870B-73BF-744C-ABD6-96ED17870D6C}" name="RawData" displayName="RawData" ref="A1:R121" tableType="queryTable" totalsRowShown="0">
  <autoFilter ref="A1:R121" xr:uid="{3D81870B-73BF-744C-ABD6-96ED17870D6C}"/>
  <tableColumns count="18">
    <tableColumn id="1" xr3:uid="{8CF8BDB7-0492-C443-8104-D7FD17EB4779}" uniqueName="1" name="StaffID" queryTableFieldId="1"/>
    <tableColumn id="2" xr3:uid="{FD2FC468-5C63-1E45-8300-9707E860FD70}" uniqueName="2" name="Role" queryTableFieldId="2" dataDxfId="19"/>
    <tableColumn id="3" xr3:uid="{417A43E6-CE9F-7E47-A307-412F94413E82}" uniqueName="3" name="Band" queryTableFieldId="3" dataDxfId="18"/>
    <tableColumn id="4" xr3:uid="{EDDC418A-74AF-9946-9DB7-5AF2E78D63CC}" uniqueName="4" name="Department" queryTableFieldId="4" dataDxfId="17"/>
    <tableColumn id="5" xr3:uid="{F1C2890B-F900-A044-9407-50BFCA5EE58C}" uniqueName="5" name="Location" queryTableFieldId="5" dataDxfId="16"/>
    <tableColumn id="6" xr3:uid="{5C9B0A52-6412-6246-805B-96BB5799CF5D}" uniqueName="6" name="ShiftType" queryTableFieldId="6" dataDxfId="15"/>
    <tableColumn id="7" xr3:uid="{E495F529-5A64-8749-88E9-6149D247F519}" uniqueName="7" name="ContractType" queryTableFieldId="7" dataDxfId="14"/>
    <tableColumn id="8" xr3:uid="{D44F5E46-9B0F-0B40-931C-33F573762B0F}" uniqueName="8" name="HoursWorked" queryTableFieldId="8"/>
    <tableColumn id="9" xr3:uid="{9ACF3C99-E90D-1B48-99C9-53EF3994AFE7}" uniqueName="9" name="OvertimeHours" queryTableFieldId="9"/>
    <tableColumn id="10" xr3:uid="{BB3554F9-9CAC-3848-8F28-6E80F5032CED}" uniqueName="10" name="AbsenceDays" queryTableFieldId="10"/>
    <tableColumn id="11" xr3:uid="{B8DD71CD-5F7C-4A4F-9A1D-C61CACFD29F9}" uniqueName="11" name="LateDays" queryTableFieldId="11"/>
    <tableColumn id="12" xr3:uid="{9FC9F398-C4DA-A04E-89FC-E375873C18DA}" uniqueName="12" name="StartDate" queryTableFieldId="12" dataDxfId="13"/>
    <tableColumn id="13" xr3:uid="{C6AFF952-04C8-A741-889B-653E0442D08F}" uniqueName="13" name="ShiftType_Clean" queryTableFieldId="13" dataDxfId="12">
      <calculatedColumnFormula>PROPER(TRIM(RawData[[#This Row],[ShiftType]]))</calculatedColumnFormula>
    </tableColumn>
    <tableColumn id="14" xr3:uid="{DEEAB03F-32C5-3D40-ABEE-E1B98D776D95}" uniqueName="14" name="HoursWorked_Clean" queryTableFieldId="14" dataDxfId="11">
      <calculatedColumnFormula>VALUE(TRIM(RawData[[#This Row],[HoursWorked]]))</calculatedColumnFormula>
    </tableColumn>
    <tableColumn id="15" xr3:uid="{69F85B3A-5D13-6B40-AC73-D24A7D5FA558}" uniqueName="15" name="StartDate_Clean" queryTableFieldId="15" dataDxfId="10">
      <calculatedColumnFormula>IF(ISNUMBER(RawData[[#This Row],[StartDate]]),RawData[[#This Row],[StartDate]],DATEVALUE(RawData[[#This Row],[StartDate]]))</calculatedColumnFormula>
    </tableColumn>
    <tableColumn id="16" xr3:uid="{51F3D05B-F307-054A-87E8-9E45934DC837}" uniqueName="16" name="WorkType" queryTableFieldId="16" dataDxfId="9">
      <calculatedColumnFormula>IF(RawData[[#This Row],[HoursWorked_Clean]]&gt;=40,"Full-time","Part-time")</calculatedColumnFormula>
    </tableColumn>
    <tableColumn id="18" xr3:uid="{0D404B02-C08C-4D46-8103-764A02A70A4E}" uniqueName="18" name="RiskFlag" queryTableFieldId="18" dataDxfId="8">
      <calculatedColumnFormula>IF(OR(RawData[[#This Row],[AbsenceDays]]&gt;=4,RawData[[#This Row],[LateDays]]&gt;=3),"At Risk","OK")</calculatedColumnFormula>
    </tableColumn>
    <tableColumn id="19" xr3:uid="{F4F1447B-E4E5-0F46-9BE2-ABC535674346}" uniqueName="19" name="OvertimeLevel" queryTableFieldId="19" dataDxfId="7">
      <calculatedColumnFormula>IF(RawData[[#This Row],[OvertimeHours]]&gt;10,"High","Normal")</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0A680-E671-B146-B7DD-546091ADA4B5}">
  <dimension ref="C4:D12"/>
  <sheetViews>
    <sheetView zoomScale="153" zoomScaleNormal="153" workbookViewId="0">
      <selection activeCell="F7" sqref="F7"/>
    </sheetView>
  </sheetViews>
  <sheetFormatPr baseColWidth="10" defaultRowHeight="16" x14ac:dyDescent="0.2"/>
  <cols>
    <col min="1" max="1" width="13.6640625" customWidth="1"/>
    <col min="2" max="2" width="5.1640625" customWidth="1"/>
    <col min="3" max="3" width="16.1640625" customWidth="1"/>
    <col min="4" max="4" width="19.83203125" customWidth="1"/>
    <col min="5" max="5" width="15.83203125" customWidth="1"/>
  </cols>
  <sheetData>
    <row r="4" spans="3:4" x14ac:dyDescent="0.2">
      <c r="C4" s="4" t="s">
        <v>59</v>
      </c>
    </row>
    <row r="6" spans="3:4" x14ac:dyDescent="0.2">
      <c r="C6" s="5" t="s">
        <v>58</v>
      </c>
      <c r="D6" t="s">
        <v>56</v>
      </c>
    </row>
    <row r="7" spans="3:4" x14ac:dyDescent="0.2">
      <c r="C7" s="6" t="s">
        <v>31</v>
      </c>
      <c r="D7">
        <v>8</v>
      </c>
    </row>
    <row r="8" spans="3:4" x14ac:dyDescent="0.2">
      <c r="C8" s="6" t="s">
        <v>25</v>
      </c>
      <c r="D8">
        <v>7</v>
      </c>
    </row>
    <row r="9" spans="3:4" x14ac:dyDescent="0.2">
      <c r="C9" s="6" t="s">
        <v>18</v>
      </c>
      <c r="D9">
        <v>4</v>
      </c>
    </row>
    <row r="10" spans="3:4" x14ac:dyDescent="0.2">
      <c r="C10" s="6" t="s">
        <v>21</v>
      </c>
      <c r="D10">
        <v>6</v>
      </c>
    </row>
    <row r="11" spans="3:4" x14ac:dyDescent="0.2">
      <c r="C11" s="6" t="s">
        <v>12</v>
      </c>
      <c r="D11">
        <v>6</v>
      </c>
    </row>
    <row r="12" spans="3:4" x14ac:dyDescent="0.2">
      <c r="C12" s="6" t="s">
        <v>55</v>
      </c>
      <c r="D12">
        <v>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94A14-F664-7B47-93DB-8B56AD643C4D}">
  <dimension ref="E4:H10"/>
  <sheetViews>
    <sheetView topLeftCell="A6" zoomScale="92" zoomScaleNormal="92" workbookViewId="0">
      <selection activeCell="K13" sqref="K13"/>
    </sheetView>
  </sheetViews>
  <sheetFormatPr baseColWidth="10" defaultRowHeight="16" x14ac:dyDescent="0.2"/>
  <cols>
    <col min="1" max="1" width="13.5" bestFit="1" customWidth="1"/>
    <col min="2" max="2" width="20" bestFit="1" customWidth="1"/>
    <col min="6" max="6" width="17.5" customWidth="1"/>
    <col min="7" max="7" width="30" customWidth="1"/>
  </cols>
  <sheetData>
    <row r="4" spans="5:8" ht="24" x14ac:dyDescent="0.3">
      <c r="E4" s="15"/>
      <c r="F4" s="15"/>
      <c r="G4" s="15"/>
      <c r="H4" s="15"/>
    </row>
    <row r="5" spans="5:8" ht="24" x14ac:dyDescent="0.3">
      <c r="E5" s="15"/>
      <c r="F5" s="18" t="s">
        <v>54</v>
      </c>
      <c r="G5" s="15" t="s">
        <v>57</v>
      </c>
      <c r="H5" s="15"/>
    </row>
    <row r="6" spans="5:8" ht="24" x14ac:dyDescent="0.3">
      <c r="E6" s="15"/>
      <c r="F6" s="19" t="s">
        <v>34</v>
      </c>
      <c r="G6" s="15">
        <v>81</v>
      </c>
      <c r="H6" s="15"/>
    </row>
    <row r="7" spans="5:8" ht="24" x14ac:dyDescent="0.3">
      <c r="E7" s="15"/>
      <c r="F7" s="19" t="s">
        <v>27</v>
      </c>
      <c r="G7" s="15">
        <v>65</v>
      </c>
      <c r="H7" s="15"/>
    </row>
    <row r="8" spans="5:8" ht="24" x14ac:dyDescent="0.3">
      <c r="E8" s="15"/>
      <c r="F8" s="19" t="s">
        <v>20</v>
      </c>
      <c r="G8" s="15">
        <v>77</v>
      </c>
      <c r="H8" s="15"/>
    </row>
    <row r="9" spans="5:8" ht="24" x14ac:dyDescent="0.3">
      <c r="E9" s="15"/>
      <c r="F9" s="19" t="s">
        <v>14</v>
      </c>
      <c r="G9" s="15">
        <v>51</v>
      </c>
      <c r="H9" s="15"/>
    </row>
    <row r="10" spans="5:8" ht="24" x14ac:dyDescent="0.3">
      <c r="E10" s="15"/>
      <c r="F10" s="19" t="s">
        <v>55</v>
      </c>
      <c r="G10" s="15">
        <v>274</v>
      </c>
      <c r="H10" s="15"/>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52902-6E1B-3B4F-AB95-AD10C0DCC74E}">
  <dimension ref="A2:D11"/>
  <sheetViews>
    <sheetView tabSelected="1" workbookViewId="0">
      <selection activeCell="M12" sqref="M12"/>
    </sheetView>
  </sheetViews>
  <sheetFormatPr baseColWidth="10" defaultRowHeight="16" x14ac:dyDescent="0.2"/>
  <cols>
    <col min="1" max="1" width="23.83203125" customWidth="1"/>
    <col min="2" max="2" width="23.33203125" bestFit="1" customWidth="1"/>
  </cols>
  <sheetData>
    <row r="2" spans="1:4" ht="27" x14ac:dyDescent="0.35">
      <c r="A2" s="8"/>
      <c r="B2" s="8"/>
      <c r="C2" s="15"/>
      <c r="D2" s="15"/>
    </row>
    <row r="3" spans="1:4" ht="27" x14ac:dyDescent="0.35">
      <c r="A3" s="16" t="s">
        <v>54</v>
      </c>
      <c r="B3" s="8" t="s">
        <v>56</v>
      </c>
      <c r="C3" s="15"/>
      <c r="D3" s="15"/>
    </row>
    <row r="4" spans="1:4" ht="27" x14ac:dyDescent="0.35">
      <c r="A4" s="17" t="s">
        <v>67</v>
      </c>
      <c r="B4" s="8">
        <v>14</v>
      </c>
      <c r="C4" s="15"/>
      <c r="D4" s="15"/>
    </row>
    <row r="5" spans="1:4" ht="27" x14ac:dyDescent="0.35">
      <c r="A5" s="17" t="s">
        <v>68</v>
      </c>
      <c r="B5" s="8">
        <v>17</v>
      </c>
      <c r="C5" s="15"/>
      <c r="D5" s="15"/>
    </row>
    <row r="6" spans="1:4" ht="27" x14ac:dyDescent="0.35">
      <c r="A6" s="17" t="s">
        <v>55</v>
      </c>
      <c r="B6" s="8">
        <v>31</v>
      </c>
      <c r="C6" s="15"/>
      <c r="D6" s="15"/>
    </row>
    <row r="7" spans="1:4" ht="27" x14ac:dyDescent="0.35">
      <c r="A7" s="8"/>
      <c r="B7" s="8"/>
      <c r="C7" s="15"/>
      <c r="D7" s="15"/>
    </row>
    <row r="8" spans="1:4" ht="27" x14ac:dyDescent="0.35">
      <c r="A8" s="8"/>
      <c r="B8" s="8"/>
      <c r="C8" s="15"/>
      <c r="D8" s="15"/>
    </row>
    <row r="9" spans="1:4" ht="24" x14ac:dyDescent="0.3">
      <c r="A9" s="15"/>
      <c r="B9" s="15"/>
      <c r="C9" s="15"/>
      <c r="D9" s="15"/>
    </row>
    <row r="10" spans="1:4" ht="24" x14ac:dyDescent="0.3">
      <c r="A10" s="15"/>
      <c r="B10" s="15"/>
      <c r="C10" s="15"/>
      <c r="D10" s="15"/>
    </row>
    <row r="11" spans="1:4" ht="24" x14ac:dyDescent="0.3">
      <c r="A11" s="15"/>
      <c r="B11" s="15"/>
      <c r="C11" s="15"/>
      <c r="D11" s="15"/>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19611-268B-1043-9D1C-F1023DAA093C}">
  <dimension ref="A1:R121"/>
  <sheetViews>
    <sheetView topLeftCell="P1" zoomScale="135" zoomScaleNormal="135" workbookViewId="0">
      <selection activeCell="Q2" sqref="Q2"/>
    </sheetView>
  </sheetViews>
  <sheetFormatPr baseColWidth="10" defaultRowHeight="16" x14ac:dyDescent="0.2"/>
  <cols>
    <col min="1" max="1" width="9.5" bestFit="1" customWidth="1"/>
    <col min="2" max="2" width="13.6640625" bestFit="1" customWidth="1"/>
    <col min="3" max="3" width="7.83203125" bestFit="1" customWidth="1"/>
    <col min="4" max="4" width="13.6640625" bestFit="1" customWidth="1"/>
    <col min="6" max="6" width="11.1640625" bestFit="1" customWidth="1"/>
    <col min="7" max="7" width="14.6640625" bestFit="1" customWidth="1"/>
    <col min="8" max="8" width="15" bestFit="1" customWidth="1"/>
    <col min="9" max="9" width="16.33203125" bestFit="1" customWidth="1"/>
    <col min="10" max="10" width="15" bestFit="1" customWidth="1"/>
    <col min="11" max="11" width="11.5" bestFit="1" customWidth="1"/>
    <col min="12" max="12" width="11.6640625" bestFit="1" customWidth="1"/>
    <col min="14" max="14" width="20.83203125" customWidth="1"/>
    <col min="15" max="15" width="20.83203125" style="1" customWidth="1"/>
    <col min="16" max="16" width="15.33203125" customWidth="1"/>
    <col min="17" max="17" width="15" customWidth="1"/>
    <col min="18" max="18" width="21.33203125" customWidth="1"/>
  </cols>
  <sheetData>
    <row r="1" spans="1:18" x14ac:dyDescent="0.2">
      <c r="A1" t="s">
        <v>0</v>
      </c>
      <c r="B1" t="s">
        <v>1</v>
      </c>
      <c r="C1" t="s">
        <v>2</v>
      </c>
      <c r="D1" t="s">
        <v>3</v>
      </c>
      <c r="E1" t="s">
        <v>4</v>
      </c>
      <c r="F1" t="s">
        <v>5</v>
      </c>
      <c r="G1" t="s">
        <v>6</v>
      </c>
      <c r="H1" t="s">
        <v>7</v>
      </c>
      <c r="I1" t="s">
        <v>8</v>
      </c>
      <c r="J1" t="s">
        <v>9</v>
      </c>
      <c r="K1" t="s">
        <v>10</v>
      </c>
      <c r="L1" t="s">
        <v>11</v>
      </c>
      <c r="M1" t="s">
        <v>39</v>
      </c>
      <c r="N1" t="s">
        <v>40</v>
      </c>
      <c r="O1" s="1" t="s">
        <v>41</v>
      </c>
      <c r="P1" t="s">
        <v>42</v>
      </c>
      <c r="Q1" t="s">
        <v>43</v>
      </c>
      <c r="R1" t="s">
        <v>44</v>
      </c>
    </row>
    <row r="2" spans="1:18" x14ac:dyDescent="0.2">
      <c r="A2">
        <v>2000</v>
      </c>
      <c r="B2" t="s">
        <v>12</v>
      </c>
      <c r="C2" t="s">
        <v>13</v>
      </c>
      <c r="D2" t="s">
        <v>14</v>
      </c>
      <c r="E2" t="s">
        <v>15</v>
      </c>
      <c r="F2" t="s">
        <v>16</v>
      </c>
      <c r="G2" t="s">
        <v>17</v>
      </c>
      <c r="H2">
        <v>39</v>
      </c>
      <c r="I2">
        <v>0</v>
      </c>
      <c r="J2">
        <v>5</v>
      </c>
      <c r="K2">
        <v>4</v>
      </c>
      <c r="L2" s="1">
        <v>45916</v>
      </c>
      <c r="M2" t="str">
        <f>PROPER(TRIM(RawData[[#This Row],[ShiftType]]))</f>
        <v>Night</v>
      </c>
      <c r="N2">
        <f>VALUE(TRIM(RawData[[#This Row],[HoursWorked]]))</f>
        <v>39</v>
      </c>
      <c r="O2" s="1">
        <f>IF(ISNUMBER(RawData[[#This Row],[StartDate]]),RawData[[#This Row],[StartDate]],DATEVALUE(RawData[[#This Row],[StartDate]]))</f>
        <v>45916</v>
      </c>
      <c r="P2" t="str">
        <f>IF(RawData[[#This Row],[HoursWorked_Clean]]&gt;=40,"Full-time","Part-time")</f>
        <v>Part-time</v>
      </c>
      <c r="Q2" t="str">
        <f>IF(OR(RawData[[#This Row],[AbsenceDays]]&gt;=4,RawData[[#This Row],[LateDays]]&gt;=3),"At Risk","OK")</f>
        <v>At Risk</v>
      </c>
      <c r="R2" t="str">
        <f>IF(RawData[[#This Row],[OvertimeHours]]&gt;10,"High","Normal")</f>
        <v>Normal</v>
      </c>
    </row>
    <row r="3" spans="1:18" x14ac:dyDescent="0.2">
      <c r="A3">
        <v>2001</v>
      </c>
      <c r="B3" t="s">
        <v>18</v>
      </c>
      <c r="C3" t="s">
        <v>19</v>
      </c>
      <c r="D3" t="s">
        <v>20</v>
      </c>
      <c r="E3" t="s">
        <v>15</v>
      </c>
      <c r="F3" t="s">
        <v>16</v>
      </c>
      <c r="G3" t="s">
        <v>17</v>
      </c>
      <c r="H3">
        <v>30</v>
      </c>
      <c r="I3">
        <v>0</v>
      </c>
      <c r="J3">
        <v>1</v>
      </c>
      <c r="K3">
        <v>3</v>
      </c>
      <c r="L3" s="1">
        <v>45929</v>
      </c>
      <c r="M3" t="str">
        <f>PROPER(TRIM(RawData[[#This Row],[ShiftType]]))</f>
        <v>Night</v>
      </c>
      <c r="N3">
        <f>VALUE(TRIM(RawData[[#This Row],[HoursWorked]]))</f>
        <v>30</v>
      </c>
      <c r="O3" s="1">
        <f>IF(ISNUMBER(RawData[[#This Row],[StartDate]]),RawData[[#This Row],[StartDate]],DATEVALUE(RawData[[#This Row],[StartDate]]))</f>
        <v>45929</v>
      </c>
      <c r="P3" t="str">
        <f>IF(RawData[[#This Row],[HoursWorked_Clean]]&gt;=40,"Full-time","Part-time")</f>
        <v>Part-time</v>
      </c>
      <c r="Q3" t="str">
        <f>IF(OR(RawData[[#This Row],[AbsenceDays]]&gt;=4,RawData[[#This Row],[LateDays]]&gt;=3),"At Risk","OK")</f>
        <v>At Risk</v>
      </c>
      <c r="R3" t="str">
        <f>IF(RawData[[#This Row],[OvertimeHours]]&gt;10,"High","Normal")</f>
        <v>Normal</v>
      </c>
    </row>
    <row r="4" spans="1:18" x14ac:dyDescent="0.2">
      <c r="A4">
        <v>2002</v>
      </c>
      <c r="B4" t="s">
        <v>21</v>
      </c>
      <c r="C4" t="s">
        <v>22</v>
      </c>
      <c r="D4" t="s">
        <v>20</v>
      </c>
      <c r="E4" t="s">
        <v>23</v>
      </c>
      <c r="F4" t="s">
        <v>24</v>
      </c>
      <c r="G4" t="s">
        <v>17</v>
      </c>
      <c r="H4">
        <v>55</v>
      </c>
      <c r="I4">
        <v>15</v>
      </c>
      <c r="J4">
        <v>5</v>
      </c>
      <c r="K4">
        <v>0</v>
      </c>
      <c r="L4" s="1">
        <v>45930</v>
      </c>
      <c r="M4" t="str">
        <f>PROPER(TRIM(RawData[[#This Row],[ShiftType]]))</f>
        <v>Day</v>
      </c>
      <c r="N4">
        <f>VALUE(TRIM(RawData[[#This Row],[HoursWorked]]))</f>
        <v>55</v>
      </c>
      <c r="O4" s="1">
        <f>IF(ISNUMBER(RawData[[#This Row],[StartDate]]),RawData[[#This Row],[StartDate]],DATEVALUE(RawData[[#This Row],[StartDate]]))</f>
        <v>45930</v>
      </c>
      <c r="P4" t="str">
        <f>IF(RawData[[#This Row],[HoursWorked_Clean]]&gt;=40,"Full-time","Part-time")</f>
        <v>Full-time</v>
      </c>
      <c r="Q4" t="str">
        <f>IF(OR(RawData[[#This Row],[AbsenceDays]]&gt;=4,RawData[[#This Row],[LateDays]]&gt;=3),"At Risk","OK")</f>
        <v>At Risk</v>
      </c>
      <c r="R4" t="str">
        <f>IF(RawData[[#This Row],[OvertimeHours]]&gt;10,"High","Normal")</f>
        <v>High</v>
      </c>
    </row>
    <row r="5" spans="1:18" x14ac:dyDescent="0.2">
      <c r="A5">
        <v>2003</v>
      </c>
      <c r="B5" t="s">
        <v>25</v>
      </c>
      <c r="C5" t="s">
        <v>26</v>
      </c>
      <c r="D5" t="s">
        <v>27</v>
      </c>
      <c r="E5" t="s">
        <v>38</v>
      </c>
      <c r="F5" t="s">
        <v>16</v>
      </c>
      <c r="G5" t="s">
        <v>17</v>
      </c>
      <c r="H5">
        <v>47</v>
      </c>
      <c r="I5">
        <v>7</v>
      </c>
      <c r="J5">
        <v>2</v>
      </c>
      <c r="K5">
        <v>0</v>
      </c>
      <c r="L5" s="1">
        <v>45974</v>
      </c>
      <c r="M5" t="str">
        <f>PROPER(TRIM(RawData[[#This Row],[ShiftType]]))</f>
        <v>Night</v>
      </c>
      <c r="N5">
        <f>VALUE(TRIM(RawData[[#This Row],[HoursWorked]]))</f>
        <v>47</v>
      </c>
      <c r="O5" s="1">
        <f>IF(ISNUMBER(RawData[[#This Row],[StartDate]]),RawData[[#This Row],[StartDate]],DATEVALUE(RawData[[#This Row],[StartDate]]))</f>
        <v>45974</v>
      </c>
      <c r="P5" t="str">
        <f>IF(RawData[[#This Row],[HoursWorked_Clean]]&gt;=40,"Full-time","Part-time")</f>
        <v>Full-time</v>
      </c>
      <c r="Q5" t="str">
        <f>IF(OR(RawData[[#This Row],[AbsenceDays]]&gt;=4,RawData[[#This Row],[LateDays]]&gt;=3),"At Risk","OK")</f>
        <v>OK</v>
      </c>
      <c r="R5" t="str">
        <f>IF(RawData[[#This Row],[OvertimeHours]]&gt;10,"High","Normal")</f>
        <v>Normal</v>
      </c>
    </row>
    <row r="6" spans="1:18" x14ac:dyDescent="0.2">
      <c r="A6">
        <v>2004</v>
      </c>
      <c r="B6" t="s">
        <v>12</v>
      </c>
      <c r="C6" t="s">
        <v>13</v>
      </c>
      <c r="D6" t="s">
        <v>27</v>
      </c>
      <c r="E6" t="s">
        <v>15</v>
      </c>
      <c r="F6" t="s">
        <v>16</v>
      </c>
      <c r="G6" t="s">
        <v>28</v>
      </c>
      <c r="H6">
        <v>30</v>
      </c>
      <c r="I6">
        <v>0</v>
      </c>
      <c r="J6">
        <v>2</v>
      </c>
      <c r="K6">
        <v>0</v>
      </c>
      <c r="L6" s="1">
        <v>45937</v>
      </c>
      <c r="M6" t="str">
        <f>PROPER(TRIM(RawData[[#This Row],[ShiftType]]))</f>
        <v>Night</v>
      </c>
      <c r="N6">
        <f>VALUE(TRIM(RawData[[#This Row],[HoursWorked]]))</f>
        <v>30</v>
      </c>
      <c r="O6" s="1">
        <f>IF(ISNUMBER(RawData[[#This Row],[StartDate]]),RawData[[#This Row],[StartDate]],DATEVALUE(RawData[[#This Row],[StartDate]]))</f>
        <v>45937</v>
      </c>
      <c r="P6" t="str">
        <f>IF(RawData[[#This Row],[HoursWorked_Clean]]&gt;=40,"Full-time","Part-time")</f>
        <v>Part-time</v>
      </c>
      <c r="Q6" t="str">
        <f>IF(OR(RawData[[#This Row],[AbsenceDays]]&gt;=4,RawData[[#This Row],[LateDays]]&gt;=3),"At Risk","OK")</f>
        <v>OK</v>
      </c>
      <c r="R6" t="str">
        <f>IF(RawData[[#This Row],[OvertimeHours]]&gt;10,"High","Normal")</f>
        <v>Normal</v>
      </c>
    </row>
    <row r="7" spans="1:18" x14ac:dyDescent="0.2">
      <c r="A7">
        <v>2005</v>
      </c>
      <c r="B7" t="s">
        <v>25</v>
      </c>
      <c r="C7" t="s">
        <v>26</v>
      </c>
      <c r="D7" t="s">
        <v>27</v>
      </c>
      <c r="E7" t="s">
        <v>15</v>
      </c>
      <c r="F7" t="s">
        <v>29</v>
      </c>
      <c r="G7" t="s">
        <v>28</v>
      </c>
      <c r="H7">
        <v>45</v>
      </c>
      <c r="I7">
        <v>9</v>
      </c>
      <c r="J7">
        <v>0</v>
      </c>
      <c r="K7">
        <v>4</v>
      </c>
      <c r="L7" s="1">
        <v>45912</v>
      </c>
      <c r="M7" t="str">
        <f>PROPER(TRIM(RawData[[#This Row],[ShiftType]]))</f>
        <v>Night</v>
      </c>
      <c r="N7">
        <f>VALUE(TRIM(RawData[[#This Row],[HoursWorked]]))</f>
        <v>45</v>
      </c>
      <c r="O7" s="1">
        <f>IF(ISNUMBER(RawData[[#This Row],[StartDate]]),RawData[[#This Row],[StartDate]],DATEVALUE(RawData[[#This Row],[StartDate]]))</f>
        <v>45912</v>
      </c>
      <c r="P7" t="str">
        <f>IF(RawData[[#This Row],[HoursWorked_Clean]]&gt;=40,"Full-time","Part-time")</f>
        <v>Full-time</v>
      </c>
      <c r="Q7" t="str">
        <f>IF(OR(RawData[[#This Row],[AbsenceDays]]&gt;=4,RawData[[#This Row],[LateDays]]&gt;=3),"At Risk","OK")</f>
        <v>At Risk</v>
      </c>
      <c r="R7" t="str">
        <f>IF(RawData[[#This Row],[OvertimeHours]]&gt;10,"High","Normal")</f>
        <v>Normal</v>
      </c>
    </row>
    <row r="8" spans="1:18" x14ac:dyDescent="0.2">
      <c r="A8">
        <v>2006</v>
      </c>
      <c r="B8" t="s">
        <v>25</v>
      </c>
      <c r="C8" t="s">
        <v>26</v>
      </c>
      <c r="D8" t="s">
        <v>27</v>
      </c>
      <c r="E8" t="s">
        <v>30</v>
      </c>
      <c r="F8" t="s">
        <v>16</v>
      </c>
      <c r="G8" t="s">
        <v>17</v>
      </c>
      <c r="H8">
        <v>52</v>
      </c>
      <c r="I8">
        <v>12</v>
      </c>
      <c r="J8">
        <v>0</v>
      </c>
      <c r="K8">
        <v>3</v>
      </c>
      <c r="L8" s="1">
        <v>45963</v>
      </c>
      <c r="M8" t="str">
        <f>PROPER(TRIM(RawData[[#This Row],[ShiftType]]))</f>
        <v>Night</v>
      </c>
      <c r="N8">
        <f>VALUE(TRIM(RawData[[#This Row],[HoursWorked]]))</f>
        <v>52</v>
      </c>
      <c r="O8" s="1">
        <f>IF(ISNUMBER(RawData[[#This Row],[StartDate]]),RawData[[#This Row],[StartDate]],DATEVALUE(RawData[[#This Row],[StartDate]]))</f>
        <v>45963</v>
      </c>
      <c r="P8" t="str">
        <f>IF(RawData[[#This Row],[HoursWorked_Clean]]&gt;=40,"Full-time","Part-time")</f>
        <v>Full-time</v>
      </c>
      <c r="Q8" t="str">
        <f>IF(OR(RawData[[#This Row],[AbsenceDays]]&gt;=4,RawData[[#This Row],[LateDays]]&gt;=3),"At Risk","OK")</f>
        <v>At Risk</v>
      </c>
      <c r="R8" t="str">
        <f>IF(RawData[[#This Row],[OvertimeHours]]&gt;10,"High","Normal")</f>
        <v>High</v>
      </c>
    </row>
    <row r="9" spans="1:18" x14ac:dyDescent="0.2">
      <c r="A9">
        <v>2007</v>
      </c>
      <c r="B9" t="s">
        <v>31</v>
      </c>
      <c r="C9" t="s">
        <v>22</v>
      </c>
      <c r="D9" t="s">
        <v>20</v>
      </c>
      <c r="E9" t="s">
        <v>32</v>
      </c>
      <c r="F9" t="s">
        <v>33</v>
      </c>
      <c r="G9" t="s">
        <v>17</v>
      </c>
      <c r="H9">
        <v>31</v>
      </c>
      <c r="I9">
        <v>0</v>
      </c>
      <c r="J9">
        <v>0</v>
      </c>
      <c r="K9">
        <v>4</v>
      </c>
      <c r="L9" s="1">
        <v>45979</v>
      </c>
      <c r="M9" t="str">
        <f>PROPER(TRIM(RawData[[#This Row],[ShiftType]]))</f>
        <v>Weekend</v>
      </c>
      <c r="N9">
        <f>VALUE(TRIM(RawData[[#This Row],[HoursWorked]]))</f>
        <v>31</v>
      </c>
      <c r="O9" s="1">
        <f>IF(ISNUMBER(RawData[[#This Row],[StartDate]]),RawData[[#This Row],[StartDate]],DATEVALUE(RawData[[#This Row],[StartDate]]))</f>
        <v>45979</v>
      </c>
      <c r="P9" t="str">
        <f>IF(RawData[[#This Row],[HoursWorked_Clean]]&gt;=40,"Full-time","Part-time")</f>
        <v>Part-time</v>
      </c>
      <c r="Q9" t="str">
        <f>IF(OR(RawData[[#This Row],[AbsenceDays]]&gt;=4,RawData[[#This Row],[LateDays]]&gt;=3),"At Risk","OK")</f>
        <v>At Risk</v>
      </c>
      <c r="R9" t="str">
        <f>IF(RawData[[#This Row],[OvertimeHours]]&gt;10,"High","Normal")</f>
        <v>Normal</v>
      </c>
    </row>
    <row r="10" spans="1:18" x14ac:dyDescent="0.2">
      <c r="A10">
        <v>2008</v>
      </c>
      <c r="B10" t="s">
        <v>18</v>
      </c>
      <c r="C10" t="s">
        <v>19</v>
      </c>
      <c r="D10" t="s">
        <v>34</v>
      </c>
      <c r="E10" t="s">
        <v>30</v>
      </c>
      <c r="F10" t="s">
        <v>16</v>
      </c>
      <c r="G10" t="s">
        <v>28</v>
      </c>
      <c r="H10">
        <v>47</v>
      </c>
      <c r="I10">
        <v>7</v>
      </c>
      <c r="J10">
        <v>3</v>
      </c>
      <c r="K10">
        <v>3</v>
      </c>
      <c r="L10" s="1">
        <v>45926</v>
      </c>
      <c r="M10" t="str">
        <f>PROPER(TRIM(RawData[[#This Row],[ShiftType]]))</f>
        <v>Night</v>
      </c>
      <c r="N10">
        <f>VALUE(TRIM(RawData[[#This Row],[HoursWorked]]))</f>
        <v>47</v>
      </c>
      <c r="O10" s="1">
        <f>IF(ISNUMBER(RawData[[#This Row],[StartDate]]),RawData[[#This Row],[StartDate]],DATEVALUE(RawData[[#This Row],[StartDate]]))</f>
        <v>45926</v>
      </c>
      <c r="P10" t="str">
        <f>IF(RawData[[#This Row],[HoursWorked_Clean]]&gt;=40,"Full-time","Part-time")</f>
        <v>Full-time</v>
      </c>
      <c r="Q10" t="str">
        <f>IF(OR(RawData[[#This Row],[AbsenceDays]]&gt;=4,RawData[[#This Row],[LateDays]]&gt;=3),"At Risk","OK")</f>
        <v>At Risk</v>
      </c>
      <c r="R10" t="str">
        <f>IF(RawData[[#This Row],[OvertimeHours]]&gt;10,"High","Normal")</f>
        <v>Normal</v>
      </c>
    </row>
    <row r="11" spans="1:18" x14ac:dyDescent="0.2">
      <c r="A11">
        <v>2009</v>
      </c>
      <c r="B11" t="s">
        <v>18</v>
      </c>
      <c r="C11" t="s">
        <v>19</v>
      </c>
      <c r="D11" t="s">
        <v>27</v>
      </c>
      <c r="E11" t="s">
        <v>35</v>
      </c>
      <c r="F11" t="s">
        <v>16</v>
      </c>
      <c r="G11" t="s">
        <v>28</v>
      </c>
      <c r="H11">
        <v>60</v>
      </c>
      <c r="I11">
        <v>20</v>
      </c>
      <c r="J11">
        <v>5</v>
      </c>
      <c r="K11">
        <v>4</v>
      </c>
      <c r="L11" s="1">
        <v>45987</v>
      </c>
      <c r="M11" t="str">
        <f>PROPER(TRIM(RawData[[#This Row],[ShiftType]]))</f>
        <v>Night</v>
      </c>
      <c r="N11">
        <f>VALUE(TRIM(RawData[[#This Row],[HoursWorked]]))</f>
        <v>60</v>
      </c>
      <c r="O11" s="1">
        <f>IF(ISNUMBER(RawData[[#This Row],[StartDate]]),RawData[[#This Row],[StartDate]],DATEVALUE(RawData[[#This Row],[StartDate]]))</f>
        <v>45987</v>
      </c>
      <c r="P11" t="str">
        <f>IF(RawData[[#This Row],[HoursWorked_Clean]]&gt;=40,"Full-time","Part-time")</f>
        <v>Full-time</v>
      </c>
      <c r="Q11" t="str">
        <f>IF(OR(RawData[[#This Row],[AbsenceDays]]&gt;=4,RawData[[#This Row],[LateDays]]&gt;=3),"At Risk","OK")</f>
        <v>At Risk</v>
      </c>
      <c r="R11" t="str">
        <f>IF(RawData[[#This Row],[OvertimeHours]]&gt;10,"High","Normal")</f>
        <v>High</v>
      </c>
    </row>
    <row r="12" spans="1:18" x14ac:dyDescent="0.2">
      <c r="A12">
        <v>2010</v>
      </c>
      <c r="B12" t="s">
        <v>31</v>
      </c>
      <c r="C12" t="s">
        <v>22</v>
      </c>
      <c r="D12" t="s">
        <v>14</v>
      </c>
      <c r="E12" t="s">
        <v>35</v>
      </c>
      <c r="F12" t="s">
        <v>16</v>
      </c>
      <c r="G12" t="s">
        <v>17</v>
      </c>
      <c r="H12">
        <v>60</v>
      </c>
      <c r="I12">
        <v>20</v>
      </c>
      <c r="J12">
        <v>6</v>
      </c>
      <c r="K12">
        <v>1</v>
      </c>
      <c r="L12" s="1">
        <v>45913</v>
      </c>
      <c r="M12" t="str">
        <f>PROPER(TRIM(RawData[[#This Row],[ShiftType]]))</f>
        <v>Night</v>
      </c>
      <c r="N12">
        <f>VALUE(TRIM(RawData[[#This Row],[HoursWorked]]))</f>
        <v>60</v>
      </c>
      <c r="O12" s="1">
        <f>IF(ISNUMBER(RawData[[#This Row],[StartDate]]),RawData[[#This Row],[StartDate]],DATEVALUE(RawData[[#This Row],[StartDate]]))</f>
        <v>45913</v>
      </c>
      <c r="P12" t="str">
        <f>IF(RawData[[#This Row],[HoursWorked_Clean]]&gt;=40,"Full-time","Part-time")</f>
        <v>Full-time</v>
      </c>
      <c r="Q12" t="str">
        <f>IF(OR(RawData[[#This Row],[AbsenceDays]]&gt;=4,RawData[[#This Row],[LateDays]]&gt;=3),"At Risk","OK")</f>
        <v>At Risk</v>
      </c>
      <c r="R12" t="str">
        <f>IF(RawData[[#This Row],[OvertimeHours]]&gt;10,"High","Normal")</f>
        <v>High</v>
      </c>
    </row>
    <row r="13" spans="1:18" x14ac:dyDescent="0.2">
      <c r="A13">
        <v>2011</v>
      </c>
      <c r="B13" t="s">
        <v>18</v>
      </c>
      <c r="C13" t="s">
        <v>19</v>
      </c>
      <c r="D13" t="s">
        <v>20</v>
      </c>
      <c r="E13" t="s">
        <v>30</v>
      </c>
      <c r="F13" t="s">
        <v>24</v>
      </c>
      <c r="G13" t="s">
        <v>17</v>
      </c>
      <c r="H13">
        <v>31</v>
      </c>
      <c r="I13">
        <v>0</v>
      </c>
      <c r="J13">
        <v>1</v>
      </c>
      <c r="K13">
        <v>4</v>
      </c>
      <c r="L13" s="1">
        <v>45928</v>
      </c>
      <c r="M13" t="str">
        <f>PROPER(TRIM(RawData[[#This Row],[ShiftType]]))</f>
        <v>Day</v>
      </c>
      <c r="N13">
        <f>VALUE(TRIM(RawData[[#This Row],[HoursWorked]]))</f>
        <v>31</v>
      </c>
      <c r="O13" s="1">
        <f>IF(ISNUMBER(RawData[[#This Row],[StartDate]]),RawData[[#This Row],[StartDate]],DATEVALUE(RawData[[#This Row],[StartDate]]))</f>
        <v>45928</v>
      </c>
      <c r="P13" t="str">
        <f>IF(RawData[[#This Row],[HoursWorked_Clean]]&gt;=40,"Full-time","Part-time")</f>
        <v>Part-time</v>
      </c>
      <c r="Q13" t="str">
        <f>IF(OR(RawData[[#This Row],[AbsenceDays]]&gt;=4,RawData[[#This Row],[LateDays]]&gt;=3),"At Risk","OK")</f>
        <v>At Risk</v>
      </c>
      <c r="R13" t="str">
        <f>IF(RawData[[#This Row],[OvertimeHours]]&gt;10,"High","Normal")</f>
        <v>Normal</v>
      </c>
    </row>
    <row r="14" spans="1:18" x14ac:dyDescent="0.2">
      <c r="A14">
        <v>2012</v>
      </c>
      <c r="B14" t="s">
        <v>31</v>
      </c>
      <c r="C14" t="s">
        <v>22</v>
      </c>
      <c r="D14" t="s">
        <v>27</v>
      </c>
      <c r="E14" t="s">
        <v>38</v>
      </c>
      <c r="F14" t="s">
        <v>33</v>
      </c>
      <c r="G14" t="s">
        <v>17</v>
      </c>
      <c r="H14">
        <v>48</v>
      </c>
      <c r="I14">
        <v>8</v>
      </c>
      <c r="J14">
        <v>5</v>
      </c>
      <c r="K14">
        <v>0</v>
      </c>
      <c r="L14" s="1">
        <v>45912</v>
      </c>
      <c r="M14" t="str">
        <f>PROPER(TRIM(RawData[[#This Row],[ShiftType]]))</f>
        <v>Weekend</v>
      </c>
      <c r="N14">
        <f>VALUE(TRIM(RawData[[#This Row],[HoursWorked]]))</f>
        <v>48</v>
      </c>
      <c r="O14" s="1">
        <f>IF(ISNUMBER(RawData[[#This Row],[StartDate]]),RawData[[#This Row],[StartDate]],DATEVALUE(RawData[[#This Row],[StartDate]]))</f>
        <v>45912</v>
      </c>
      <c r="P14" t="str">
        <f>IF(RawData[[#This Row],[HoursWorked_Clean]]&gt;=40,"Full-time","Part-time")</f>
        <v>Full-time</v>
      </c>
      <c r="Q14" t="str">
        <f>IF(OR(RawData[[#This Row],[AbsenceDays]]&gt;=4,RawData[[#This Row],[LateDays]]&gt;=3),"At Risk","OK")</f>
        <v>At Risk</v>
      </c>
      <c r="R14" t="str">
        <f>IF(RawData[[#This Row],[OvertimeHours]]&gt;10,"High","Normal")</f>
        <v>Normal</v>
      </c>
    </row>
    <row r="15" spans="1:18" x14ac:dyDescent="0.2">
      <c r="A15">
        <v>2013</v>
      </c>
      <c r="B15" t="s">
        <v>12</v>
      </c>
      <c r="C15" t="s">
        <v>13</v>
      </c>
      <c r="D15" t="s">
        <v>14</v>
      </c>
      <c r="E15" t="s">
        <v>30</v>
      </c>
      <c r="F15" t="s">
        <v>16</v>
      </c>
      <c r="G15" t="s">
        <v>28</v>
      </c>
      <c r="H15">
        <v>58</v>
      </c>
      <c r="I15">
        <v>18</v>
      </c>
      <c r="J15">
        <v>2</v>
      </c>
      <c r="K15">
        <v>0</v>
      </c>
      <c r="L15" s="1">
        <v>45910</v>
      </c>
      <c r="M15" t="str">
        <f>PROPER(TRIM(RawData[[#This Row],[ShiftType]]))</f>
        <v>Night</v>
      </c>
      <c r="N15">
        <f>VALUE(TRIM(RawData[[#This Row],[HoursWorked]]))</f>
        <v>58</v>
      </c>
      <c r="O15" s="1">
        <f>IF(ISNUMBER(RawData[[#This Row],[StartDate]]),RawData[[#This Row],[StartDate]],DATEVALUE(RawData[[#This Row],[StartDate]]))</f>
        <v>45910</v>
      </c>
      <c r="P15" t="str">
        <f>IF(RawData[[#This Row],[HoursWorked_Clean]]&gt;=40,"Full-time","Part-time")</f>
        <v>Full-time</v>
      </c>
      <c r="Q15" t="str">
        <f>IF(OR(RawData[[#This Row],[AbsenceDays]]&gt;=4,RawData[[#This Row],[LateDays]]&gt;=3),"At Risk","OK")</f>
        <v>OK</v>
      </c>
      <c r="R15" t="str">
        <f>IF(RawData[[#This Row],[OvertimeHours]]&gt;10,"High","Normal")</f>
        <v>High</v>
      </c>
    </row>
    <row r="16" spans="1:18" x14ac:dyDescent="0.2">
      <c r="A16">
        <v>2014</v>
      </c>
      <c r="B16" t="s">
        <v>12</v>
      </c>
      <c r="C16" t="s">
        <v>13</v>
      </c>
      <c r="D16" t="s">
        <v>34</v>
      </c>
      <c r="E16" t="s">
        <v>32</v>
      </c>
      <c r="F16" t="s">
        <v>24</v>
      </c>
      <c r="G16" t="s">
        <v>28</v>
      </c>
      <c r="H16">
        <v>45</v>
      </c>
      <c r="I16">
        <v>5</v>
      </c>
      <c r="J16">
        <v>2</v>
      </c>
      <c r="K16">
        <v>0</v>
      </c>
      <c r="L16" s="1">
        <v>45972</v>
      </c>
      <c r="M16" t="str">
        <f>PROPER(TRIM(RawData[[#This Row],[ShiftType]]))</f>
        <v>Day</v>
      </c>
      <c r="N16">
        <f>VALUE(TRIM(RawData[[#This Row],[HoursWorked]]))</f>
        <v>45</v>
      </c>
      <c r="O16" s="1">
        <f>IF(ISNUMBER(RawData[[#This Row],[StartDate]]),RawData[[#This Row],[StartDate]],DATEVALUE(RawData[[#This Row],[StartDate]]))</f>
        <v>45972</v>
      </c>
      <c r="P16" t="str">
        <f>IF(RawData[[#This Row],[HoursWorked_Clean]]&gt;=40,"Full-time","Part-time")</f>
        <v>Full-time</v>
      </c>
      <c r="Q16" t="str">
        <f>IF(OR(RawData[[#This Row],[AbsenceDays]]&gt;=4,RawData[[#This Row],[LateDays]]&gt;=3),"At Risk","OK")</f>
        <v>OK</v>
      </c>
      <c r="R16" t="str">
        <f>IF(RawData[[#This Row],[OvertimeHours]]&gt;10,"High","Normal")</f>
        <v>Normal</v>
      </c>
    </row>
    <row r="17" spans="1:18" x14ac:dyDescent="0.2">
      <c r="A17">
        <v>2015</v>
      </c>
      <c r="B17" t="s">
        <v>18</v>
      </c>
      <c r="C17" t="s">
        <v>19</v>
      </c>
      <c r="D17" t="s">
        <v>34</v>
      </c>
      <c r="E17" t="s">
        <v>23</v>
      </c>
      <c r="F17" t="s">
        <v>16</v>
      </c>
      <c r="G17" t="s">
        <v>28</v>
      </c>
      <c r="H17">
        <v>54</v>
      </c>
      <c r="I17">
        <v>14</v>
      </c>
      <c r="J17">
        <v>3</v>
      </c>
      <c r="K17">
        <v>1</v>
      </c>
      <c r="L17" s="1">
        <v>45947</v>
      </c>
      <c r="M17" t="str">
        <f>PROPER(TRIM(RawData[[#This Row],[ShiftType]]))</f>
        <v>Night</v>
      </c>
      <c r="N17">
        <f>VALUE(TRIM(RawData[[#This Row],[HoursWorked]]))</f>
        <v>54</v>
      </c>
      <c r="O17" s="1">
        <f>IF(ISNUMBER(RawData[[#This Row],[StartDate]]),RawData[[#This Row],[StartDate]],DATEVALUE(RawData[[#This Row],[StartDate]]))</f>
        <v>45947</v>
      </c>
      <c r="P17" t="str">
        <f>IF(RawData[[#This Row],[HoursWorked_Clean]]&gt;=40,"Full-time","Part-time")</f>
        <v>Full-time</v>
      </c>
      <c r="Q17" t="str">
        <f>IF(OR(RawData[[#This Row],[AbsenceDays]]&gt;=4,RawData[[#This Row],[LateDays]]&gt;=3),"At Risk","OK")</f>
        <v>OK</v>
      </c>
      <c r="R17" t="str">
        <f>IF(RawData[[#This Row],[OvertimeHours]]&gt;10,"High","Normal")</f>
        <v>High</v>
      </c>
    </row>
    <row r="18" spans="1:18" x14ac:dyDescent="0.2">
      <c r="A18">
        <v>2016</v>
      </c>
      <c r="B18" t="s">
        <v>31</v>
      </c>
      <c r="C18" t="s">
        <v>22</v>
      </c>
      <c r="D18" t="s">
        <v>34</v>
      </c>
      <c r="E18" t="s">
        <v>23</v>
      </c>
      <c r="F18" t="s">
        <v>29</v>
      </c>
      <c r="G18" t="s">
        <v>17</v>
      </c>
      <c r="H18">
        <v>37</v>
      </c>
      <c r="I18">
        <v>0</v>
      </c>
      <c r="J18">
        <v>3</v>
      </c>
      <c r="K18">
        <v>4</v>
      </c>
      <c r="L18" s="1">
        <v>45934</v>
      </c>
      <c r="M18" t="str">
        <f>PROPER(TRIM(RawData[[#This Row],[ShiftType]]))</f>
        <v>Night</v>
      </c>
      <c r="N18">
        <f>VALUE(TRIM(RawData[[#This Row],[HoursWorked]]))</f>
        <v>37</v>
      </c>
      <c r="O18" s="1">
        <f>IF(ISNUMBER(RawData[[#This Row],[StartDate]]),RawData[[#This Row],[StartDate]],DATEVALUE(RawData[[#This Row],[StartDate]]))</f>
        <v>45934</v>
      </c>
      <c r="P18" t="str">
        <f>IF(RawData[[#This Row],[HoursWorked_Clean]]&gt;=40,"Full-time","Part-time")</f>
        <v>Part-time</v>
      </c>
      <c r="Q18" t="str">
        <f>IF(OR(RawData[[#This Row],[AbsenceDays]]&gt;=4,RawData[[#This Row],[LateDays]]&gt;=3),"At Risk","OK")</f>
        <v>At Risk</v>
      </c>
      <c r="R18" t="str">
        <f>IF(RawData[[#This Row],[OvertimeHours]]&gt;10,"High","Normal")</f>
        <v>Normal</v>
      </c>
    </row>
    <row r="19" spans="1:18" x14ac:dyDescent="0.2">
      <c r="A19">
        <v>2017</v>
      </c>
      <c r="B19" t="s">
        <v>21</v>
      </c>
      <c r="C19" t="s">
        <v>22</v>
      </c>
      <c r="D19" t="s">
        <v>27</v>
      </c>
      <c r="E19" t="s">
        <v>15</v>
      </c>
      <c r="F19" t="s">
        <v>16</v>
      </c>
      <c r="G19" t="s">
        <v>17</v>
      </c>
      <c r="H19">
        <v>50</v>
      </c>
      <c r="I19">
        <v>10</v>
      </c>
      <c r="J19">
        <v>2</v>
      </c>
      <c r="K19">
        <v>0</v>
      </c>
      <c r="L19" s="1">
        <v>45989</v>
      </c>
      <c r="M19" t="str">
        <f>PROPER(TRIM(RawData[[#This Row],[ShiftType]]))</f>
        <v>Night</v>
      </c>
      <c r="N19">
        <f>VALUE(TRIM(RawData[[#This Row],[HoursWorked]]))</f>
        <v>50</v>
      </c>
      <c r="O19" s="1">
        <f>IF(ISNUMBER(RawData[[#This Row],[StartDate]]),RawData[[#This Row],[StartDate]],DATEVALUE(RawData[[#This Row],[StartDate]]))</f>
        <v>45989</v>
      </c>
      <c r="P19" t="str">
        <f>IF(RawData[[#This Row],[HoursWorked_Clean]]&gt;=40,"Full-time","Part-time")</f>
        <v>Full-time</v>
      </c>
      <c r="Q19" t="str">
        <f>IF(OR(RawData[[#This Row],[AbsenceDays]]&gt;=4,RawData[[#This Row],[LateDays]]&gt;=3),"At Risk","OK")</f>
        <v>OK</v>
      </c>
      <c r="R19" t="str">
        <f>IF(RawData[[#This Row],[OvertimeHours]]&gt;10,"High","Normal")</f>
        <v>Normal</v>
      </c>
    </row>
    <row r="20" spans="1:18" x14ac:dyDescent="0.2">
      <c r="A20">
        <v>2018</v>
      </c>
      <c r="B20" t="s">
        <v>25</v>
      </c>
      <c r="C20" t="s">
        <v>26</v>
      </c>
      <c r="D20" t="s">
        <v>34</v>
      </c>
      <c r="E20" t="s">
        <v>30</v>
      </c>
      <c r="F20" t="s">
        <v>29</v>
      </c>
      <c r="G20" t="s">
        <v>28</v>
      </c>
      <c r="H20">
        <v>42</v>
      </c>
      <c r="I20">
        <v>2</v>
      </c>
      <c r="J20">
        <v>5</v>
      </c>
      <c r="K20">
        <v>4</v>
      </c>
      <c r="L20" s="1">
        <v>45972</v>
      </c>
      <c r="M20" t="str">
        <f>PROPER(TRIM(RawData[[#This Row],[ShiftType]]))</f>
        <v>Night</v>
      </c>
      <c r="N20">
        <f>VALUE(TRIM(RawData[[#This Row],[HoursWorked]]))</f>
        <v>42</v>
      </c>
      <c r="O20" s="1">
        <f>IF(ISNUMBER(RawData[[#This Row],[StartDate]]),RawData[[#This Row],[StartDate]],DATEVALUE(RawData[[#This Row],[StartDate]]))</f>
        <v>45972</v>
      </c>
      <c r="P20" t="str">
        <f>IF(RawData[[#This Row],[HoursWorked_Clean]]&gt;=40,"Full-time","Part-time")</f>
        <v>Full-time</v>
      </c>
      <c r="Q20" t="str">
        <f>IF(OR(RawData[[#This Row],[AbsenceDays]]&gt;=4,RawData[[#This Row],[LateDays]]&gt;=3),"At Risk","OK")</f>
        <v>At Risk</v>
      </c>
      <c r="R20" t="str">
        <f>IF(RawData[[#This Row],[OvertimeHours]]&gt;10,"High","Normal")</f>
        <v>Normal</v>
      </c>
    </row>
    <row r="21" spans="1:18" x14ac:dyDescent="0.2">
      <c r="A21">
        <v>2019</v>
      </c>
      <c r="B21" t="s">
        <v>36</v>
      </c>
      <c r="C21" t="s">
        <v>37</v>
      </c>
      <c r="D21" t="s">
        <v>20</v>
      </c>
      <c r="E21" t="s">
        <v>30</v>
      </c>
      <c r="F21" t="s">
        <v>24</v>
      </c>
      <c r="G21" t="s">
        <v>17</v>
      </c>
      <c r="H21">
        <v>54</v>
      </c>
      <c r="I21">
        <v>14</v>
      </c>
      <c r="J21">
        <v>0</v>
      </c>
      <c r="K21">
        <v>2</v>
      </c>
      <c r="L21" s="1">
        <v>45955</v>
      </c>
      <c r="M21" t="str">
        <f>PROPER(TRIM(RawData[[#This Row],[ShiftType]]))</f>
        <v>Day</v>
      </c>
      <c r="N21">
        <f>VALUE(TRIM(RawData[[#This Row],[HoursWorked]]))</f>
        <v>54</v>
      </c>
      <c r="O21" s="1">
        <f>IF(ISNUMBER(RawData[[#This Row],[StartDate]]),RawData[[#This Row],[StartDate]],DATEVALUE(RawData[[#This Row],[StartDate]]))</f>
        <v>45955</v>
      </c>
      <c r="P21" t="str">
        <f>IF(RawData[[#This Row],[HoursWorked_Clean]]&gt;=40,"Full-time","Part-time")</f>
        <v>Full-time</v>
      </c>
      <c r="Q21" t="str">
        <f>IF(OR(RawData[[#This Row],[AbsenceDays]]&gt;=4,RawData[[#This Row],[LateDays]]&gt;=3),"At Risk","OK")</f>
        <v>OK</v>
      </c>
      <c r="R21" t="str">
        <f>IF(RawData[[#This Row],[OvertimeHours]]&gt;10,"High","Normal")</f>
        <v>High</v>
      </c>
    </row>
    <row r="22" spans="1:18" x14ac:dyDescent="0.2">
      <c r="A22">
        <v>2020</v>
      </c>
      <c r="B22" t="s">
        <v>36</v>
      </c>
      <c r="C22" t="s">
        <v>37</v>
      </c>
      <c r="D22" t="s">
        <v>27</v>
      </c>
      <c r="E22" t="s">
        <v>30</v>
      </c>
      <c r="F22" t="s">
        <v>24</v>
      </c>
      <c r="G22" t="s">
        <v>28</v>
      </c>
      <c r="H22">
        <v>32</v>
      </c>
      <c r="I22">
        <v>0</v>
      </c>
      <c r="J22">
        <v>0</v>
      </c>
      <c r="K22">
        <v>0</v>
      </c>
      <c r="L22" s="1">
        <v>45916</v>
      </c>
      <c r="M22" t="str">
        <f>PROPER(TRIM(RawData[[#This Row],[ShiftType]]))</f>
        <v>Day</v>
      </c>
      <c r="N22">
        <f>VALUE(TRIM(RawData[[#This Row],[HoursWorked]]))</f>
        <v>32</v>
      </c>
      <c r="O22" s="1">
        <f>IF(ISNUMBER(RawData[[#This Row],[StartDate]]),RawData[[#This Row],[StartDate]],DATEVALUE(RawData[[#This Row],[StartDate]]))</f>
        <v>45916</v>
      </c>
      <c r="P22" t="str">
        <f>IF(RawData[[#This Row],[HoursWorked_Clean]]&gt;=40,"Full-time","Part-time")</f>
        <v>Part-time</v>
      </c>
      <c r="Q22" t="str">
        <f>IF(OR(RawData[[#This Row],[AbsenceDays]]&gt;=4,RawData[[#This Row],[LateDays]]&gt;=3),"At Risk","OK")</f>
        <v>OK</v>
      </c>
      <c r="R22" t="str">
        <f>IF(RawData[[#This Row],[OvertimeHours]]&gt;10,"High","Normal")</f>
        <v>Normal</v>
      </c>
    </row>
    <row r="23" spans="1:18" x14ac:dyDescent="0.2">
      <c r="A23">
        <v>2021</v>
      </c>
      <c r="B23" t="s">
        <v>31</v>
      </c>
      <c r="C23" t="s">
        <v>22</v>
      </c>
      <c r="D23" t="s">
        <v>20</v>
      </c>
      <c r="E23" t="s">
        <v>35</v>
      </c>
      <c r="F23" t="s">
        <v>24</v>
      </c>
      <c r="G23" t="s">
        <v>28</v>
      </c>
      <c r="H23">
        <v>59</v>
      </c>
      <c r="I23">
        <v>19</v>
      </c>
      <c r="J23">
        <v>6</v>
      </c>
      <c r="K23">
        <v>2</v>
      </c>
      <c r="L23" s="1">
        <v>45923</v>
      </c>
      <c r="M23" t="str">
        <f>PROPER(TRIM(RawData[[#This Row],[ShiftType]]))</f>
        <v>Day</v>
      </c>
      <c r="N23">
        <f>VALUE(TRIM(RawData[[#This Row],[HoursWorked]]))</f>
        <v>59</v>
      </c>
      <c r="O23" s="1">
        <f>IF(ISNUMBER(RawData[[#This Row],[StartDate]]),RawData[[#This Row],[StartDate]],DATEVALUE(RawData[[#This Row],[StartDate]]))</f>
        <v>45923</v>
      </c>
      <c r="P23" t="str">
        <f>IF(RawData[[#This Row],[HoursWorked_Clean]]&gt;=40,"Full-time","Part-time")</f>
        <v>Full-time</v>
      </c>
      <c r="Q23" t="str">
        <f>IF(OR(RawData[[#This Row],[AbsenceDays]]&gt;=4,RawData[[#This Row],[LateDays]]&gt;=3),"At Risk","OK")</f>
        <v>At Risk</v>
      </c>
      <c r="R23" t="str">
        <f>IF(RawData[[#This Row],[OvertimeHours]]&gt;10,"High","Normal")</f>
        <v>High</v>
      </c>
    </row>
    <row r="24" spans="1:18" x14ac:dyDescent="0.2">
      <c r="A24">
        <v>2022</v>
      </c>
      <c r="B24" t="s">
        <v>31</v>
      </c>
      <c r="C24" t="s">
        <v>22</v>
      </c>
      <c r="D24" t="s">
        <v>34</v>
      </c>
      <c r="E24" t="s">
        <v>35</v>
      </c>
      <c r="F24" t="s">
        <v>16</v>
      </c>
      <c r="G24" t="s">
        <v>28</v>
      </c>
      <c r="H24">
        <v>41</v>
      </c>
      <c r="I24">
        <v>1</v>
      </c>
      <c r="J24">
        <v>0</v>
      </c>
      <c r="K24">
        <v>4</v>
      </c>
      <c r="L24" s="1">
        <v>45963</v>
      </c>
      <c r="M24" t="str">
        <f>PROPER(TRIM(RawData[[#This Row],[ShiftType]]))</f>
        <v>Night</v>
      </c>
      <c r="N24">
        <f>VALUE(TRIM(RawData[[#This Row],[HoursWorked]]))</f>
        <v>41</v>
      </c>
      <c r="O24" s="1">
        <f>IF(ISNUMBER(RawData[[#This Row],[StartDate]]),RawData[[#This Row],[StartDate]],DATEVALUE(RawData[[#This Row],[StartDate]]))</f>
        <v>45963</v>
      </c>
      <c r="P24" t="str">
        <f>IF(RawData[[#This Row],[HoursWorked_Clean]]&gt;=40,"Full-time","Part-time")</f>
        <v>Full-time</v>
      </c>
      <c r="Q24" t="str">
        <f>IF(OR(RawData[[#This Row],[AbsenceDays]]&gt;=4,RawData[[#This Row],[LateDays]]&gt;=3),"At Risk","OK")</f>
        <v>At Risk</v>
      </c>
      <c r="R24" t="str">
        <f>IF(RawData[[#This Row],[OvertimeHours]]&gt;10,"High","Normal")</f>
        <v>Normal</v>
      </c>
    </row>
    <row r="25" spans="1:18" x14ac:dyDescent="0.2">
      <c r="A25">
        <v>2023</v>
      </c>
      <c r="B25" t="s">
        <v>12</v>
      </c>
      <c r="C25" t="s">
        <v>13</v>
      </c>
      <c r="D25" t="s">
        <v>20</v>
      </c>
      <c r="E25" t="s">
        <v>32</v>
      </c>
      <c r="F25" t="s">
        <v>24</v>
      </c>
      <c r="G25" t="s">
        <v>28</v>
      </c>
      <c r="H25">
        <v>52</v>
      </c>
      <c r="I25">
        <v>12</v>
      </c>
      <c r="J25">
        <v>1</v>
      </c>
      <c r="K25">
        <v>1</v>
      </c>
      <c r="L25" s="1">
        <v>45980</v>
      </c>
      <c r="M25" t="str">
        <f>PROPER(TRIM(RawData[[#This Row],[ShiftType]]))</f>
        <v>Day</v>
      </c>
      <c r="N25">
        <f>VALUE(TRIM(RawData[[#This Row],[HoursWorked]]))</f>
        <v>52</v>
      </c>
      <c r="O25" s="1">
        <f>IF(ISNUMBER(RawData[[#This Row],[StartDate]]),RawData[[#This Row],[StartDate]],DATEVALUE(RawData[[#This Row],[StartDate]]))</f>
        <v>45980</v>
      </c>
      <c r="P25" t="str">
        <f>IF(RawData[[#This Row],[HoursWorked_Clean]]&gt;=40,"Full-time","Part-time")</f>
        <v>Full-time</v>
      </c>
      <c r="Q25" t="str">
        <f>IF(OR(RawData[[#This Row],[AbsenceDays]]&gt;=4,RawData[[#This Row],[LateDays]]&gt;=3),"At Risk","OK")</f>
        <v>OK</v>
      </c>
      <c r="R25" t="str">
        <f>IF(RawData[[#This Row],[OvertimeHours]]&gt;10,"High","Normal")</f>
        <v>High</v>
      </c>
    </row>
    <row r="26" spans="1:18" x14ac:dyDescent="0.2">
      <c r="A26">
        <v>2024</v>
      </c>
      <c r="B26" t="s">
        <v>25</v>
      </c>
      <c r="C26" t="s">
        <v>26</v>
      </c>
      <c r="D26" t="s">
        <v>20</v>
      </c>
      <c r="E26" t="s">
        <v>15</v>
      </c>
      <c r="F26" t="s">
        <v>24</v>
      </c>
      <c r="G26" t="s">
        <v>28</v>
      </c>
      <c r="H26">
        <v>42</v>
      </c>
      <c r="I26">
        <v>2</v>
      </c>
      <c r="J26">
        <v>0</v>
      </c>
      <c r="K26">
        <v>2</v>
      </c>
      <c r="L26" s="1">
        <v>45958</v>
      </c>
      <c r="M26" t="str">
        <f>PROPER(TRIM(RawData[[#This Row],[ShiftType]]))</f>
        <v>Day</v>
      </c>
      <c r="N26">
        <f>VALUE(TRIM(RawData[[#This Row],[HoursWorked]]))</f>
        <v>42</v>
      </c>
      <c r="O26" s="1">
        <f>IF(ISNUMBER(RawData[[#This Row],[StartDate]]),RawData[[#This Row],[StartDate]],DATEVALUE(RawData[[#This Row],[StartDate]]))</f>
        <v>45958</v>
      </c>
      <c r="P26" t="str">
        <f>IF(RawData[[#This Row],[HoursWorked_Clean]]&gt;=40,"Full-time","Part-time")</f>
        <v>Full-time</v>
      </c>
      <c r="Q26" t="str">
        <f>IF(OR(RawData[[#This Row],[AbsenceDays]]&gt;=4,RawData[[#This Row],[LateDays]]&gt;=3),"At Risk","OK")</f>
        <v>OK</v>
      </c>
      <c r="R26" t="str">
        <f>IF(RawData[[#This Row],[OvertimeHours]]&gt;10,"High","Normal")</f>
        <v>Normal</v>
      </c>
    </row>
    <row r="27" spans="1:18" x14ac:dyDescent="0.2">
      <c r="A27">
        <v>2025</v>
      </c>
      <c r="B27" t="s">
        <v>12</v>
      </c>
      <c r="C27" t="s">
        <v>13</v>
      </c>
      <c r="D27" t="s">
        <v>27</v>
      </c>
      <c r="E27" t="s">
        <v>35</v>
      </c>
      <c r="F27" t="s">
        <v>16</v>
      </c>
      <c r="G27" t="s">
        <v>28</v>
      </c>
      <c r="H27">
        <v>45</v>
      </c>
      <c r="I27">
        <v>1</v>
      </c>
      <c r="J27">
        <v>1</v>
      </c>
      <c r="K27">
        <v>2</v>
      </c>
      <c r="L27" s="1">
        <v>45946</v>
      </c>
      <c r="M27" t="str">
        <f>PROPER(TRIM(RawData[[#This Row],[ShiftType]]))</f>
        <v>Night</v>
      </c>
      <c r="N27">
        <f>VALUE(TRIM(RawData[[#This Row],[HoursWorked]]))</f>
        <v>45</v>
      </c>
      <c r="O27" s="1">
        <f>IF(ISNUMBER(RawData[[#This Row],[StartDate]]),RawData[[#This Row],[StartDate]],DATEVALUE(RawData[[#This Row],[StartDate]]))</f>
        <v>45946</v>
      </c>
      <c r="P27" t="str">
        <f>IF(RawData[[#This Row],[HoursWorked_Clean]]&gt;=40,"Full-time","Part-time")</f>
        <v>Full-time</v>
      </c>
      <c r="Q27" t="str">
        <f>IF(OR(RawData[[#This Row],[AbsenceDays]]&gt;=4,RawData[[#This Row],[LateDays]]&gt;=3),"At Risk","OK")</f>
        <v>OK</v>
      </c>
      <c r="R27" t="str">
        <f>IF(RawData[[#This Row],[OvertimeHours]]&gt;10,"High","Normal")</f>
        <v>Normal</v>
      </c>
    </row>
    <row r="28" spans="1:18" x14ac:dyDescent="0.2">
      <c r="A28">
        <v>2026</v>
      </c>
      <c r="B28" t="s">
        <v>25</v>
      </c>
      <c r="C28" t="s">
        <v>26</v>
      </c>
      <c r="D28" t="s">
        <v>34</v>
      </c>
      <c r="E28" t="s">
        <v>35</v>
      </c>
      <c r="F28" t="s">
        <v>16</v>
      </c>
      <c r="G28" t="s">
        <v>17</v>
      </c>
      <c r="H28">
        <v>38</v>
      </c>
      <c r="I28">
        <v>0</v>
      </c>
      <c r="J28">
        <v>1</v>
      </c>
      <c r="K28">
        <v>1</v>
      </c>
      <c r="L28" s="1">
        <v>45938</v>
      </c>
      <c r="M28" t="str">
        <f>PROPER(TRIM(RawData[[#This Row],[ShiftType]]))</f>
        <v>Night</v>
      </c>
      <c r="N28">
        <f>VALUE(TRIM(RawData[[#This Row],[HoursWorked]]))</f>
        <v>38</v>
      </c>
      <c r="O28" s="1">
        <f>IF(ISNUMBER(RawData[[#This Row],[StartDate]]),RawData[[#This Row],[StartDate]],DATEVALUE(RawData[[#This Row],[StartDate]]))</f>
        <v>45938</v>
      </c>
      <c r="P28" t="str">
        <f>IF(RawData[[#This Row],[HoursWorked_Clean]]&gt;=40,"Full-time","Part-time")</f>
        <v>Part-time</v>
      </c>
      <c r="Q28" t="str">
        <f>IF(OR(RawData[[#This Row],[AbsenceDays]]&gt;=4,RawData[[#This Row],[LateDays]]&gt;=3),"At Risk","OK")</f>
        <v>OK</v>
      </c>
      <c r="R28" t="str">
        <f>IF(RawData[[#This Row],[OvertimeHours]]&gt;10,"High","Normal")</f>
        <v>Normal</v>
      </c>
    </row>
    <row r="29" spans="1:18" x14ac:dyDescent="0.2">
      <c r="A29">
        <v>2027</v>
      </c>
      <c r="B29" t="s">
        <v>31</v>
      </c>
      <c r="C29" t="s">
        <v>22</v>
      </c>
      <c r="D29" t="s">
        <v>14</v>
      </c>
      <c r="E29" t="s">
        <v>32</v>
      </c>
      <c r="F29" t="s">
        <v>16</v>
      </c>
      <c r="G29" t="s">
        <v>17</v>
      </c>
      <c r="H29">
        <v>30</v>
      </c>
      <c r="I29">
        <v>0</v>
      </c>
      <c r="J29">
        <v>2</v>
      </c>
      <c r="K29">
        <v>3</v>
      </c>
      <c r="L29" s="1">
        <v>45930</v>
      </c>
      <c r="M29" t="str">
        <f>PROPER(TRIM(RawData[[#This Row],[ShiftType]]))</f>
        <v>Night</v>
      </c>
      <c r="N29">
        <f>VALUE(TRIM(RawData[[#This Row],[HoursWorked]]))</f>
        <v>30</v>
      </c>
      <c r="O29" s="1">
        <f>IF(ISNUMBER(RawData[[#This Row],[StartDate]]),RawData[[#This Row],[StartDate]],DATEVALUE(RawData[[#This Row],[StartDate]]))</f>
        <v>45930</v>
      </c>
      <c r="P29" t="str">
        <f>IF(RawData[[#This Row],[HoursWorked_Clean]]&gt;=40,"Full-time","Part-time")</f>
        <v>Part-time</v>
      </c>
      <c r="Q29" t="str">
        <f>IF(OR(RawData[[#This Row],[AbsenceDays]]&gt;=4,RawData[[#This Row],[LateDays]]&gt;=3),"At Risk","OK")</f>
        <v>At Risk</v>
      </c>
      <c r="R29" t="str">
        <f>IF(RawData[[#This Row],[OvertimeHours]]&gt;10,"High","Normal")</f>
        <v>Normal</v>
      </c>
    </row>
    <row r="30" spans="1:18" x14ac:dyDescent="0.2">
      <c r="A30">
        <v>2028</v>
      </c>
      <c r="B30" t="s">
        <v>21</v>
      </c>
      <c r="C30" t="s">
        <v>22</v>
      </c>
      <c r="D30" t="s">
        <v>27</v>
      </c>
      <c r="E30" t="s">
        <v>32</v>
      </c>
      <c r="F30" t="s">
        <v>24</v>
      </c>
      <c r="G30" t="s">
        <v>17</v>
      </c>
      <c r="H30">
        <v>46</v>
      </c>
      <c r="I30">
        <v>6</v>
      </c>
      <c r="J30">
        <v>4</v>
      </c>
      <c r="K30">
        <v>2</v>
      </c>
      <c r="L30" s="1">
        <v>45915</v>
      </c>
      <c r="M30" t="str">
        <f>PROPER(TRIM(RawData[[#This Row],[ShiftType]]))</f>
        <v>Day</v>
      </c>
      <c r="N30">
        <f>VALUE(TRIM(RawData[[#This Row],[HoursWorked]]))</f>
        <v>46</v>
      </c>
      <c r="O30" s="1">
        <f>IF(ISNUMBER(RawData[[#This Row],[StartDate]]),RawData[[#This Row],[StartDate]],DATEVALUE(RawData[[#This Row],[StartDate]]))</f>
        <v>45915</v>
      </c>
      <c r="P30" t="str">
        <f>IF(RawData[[#This Row],[HoursWorked_Clean]]&gt;=40,"Full-time","Part-time")</f>
        <v>Full-time</v>
      </c>
      <c r="Q30" t="str">
        <f>IF(OR(RawData[[#This Row],[AbsenceDays]]&gt;=4,RawData[[#This Row],[LateDays]]&gt;=3),"At Risk","OK")</f>
        <v>At Risk</v>
      </c>
      <c r="R30" t="str">
        <f>IF(RawData[[#This Row],[OvertimeHours]]&gt;10,"High","Normal")</f>
        <v>Normal</v>
      </c>
    </row>
    <row r="31" spans="1:18" x14ac:dyDescent="0.2">
      <c r="A31">
        <v>2029</v>
      </c>
      <c r="B31" t="s">
        <v>12</v>
      </c>
      <c r="C31" t="s">
        <v>13</v>
      </c>
      <c r="D31" t="s">
        <v>20</v>
      </c>
      <c r="E31" t="s">
        <v>15</v>
      </c>
      <c r="F31" t="s">
        <v>24</v>
      </c>
      <c r="G31" t="s">
        <v>28</v>
      </c>
      <c r="H31">
        <v>49</v>
      </c>
      <c r="I31">
        <v>9</v>
      </c>
      <c r="J31">
        <v>3</v>
      </c>
      <c r="K31">
        <v>1</v>
      </c>
      <c r="L31" s="1">
        <v>45951</v>
      </c>
      <c r="M31" t="str">
        <f>PROPER(TRIM(RawData[[#This Row],[ShiftType]]))</f>
        <v>Day</v>
      </c>
      <c r="N31">
        <f>VALUE(TRIM(RawData[[#This Row],[HoursWorked]]))</f>
        <v>49</v>
      </c>
      <c r="O31" s="1">
        <f>IF(ISNUMBER(RawData[[#This Row],[StartDate]]),RawData[[#This Row],[StartDate]],DATEVALUE(RawData[[#This Row],[StartDate]]))</f>
        <v>45951</v>
      </c>
      <c r="P31" t="str">
        <f>IF(RawData[[#This Row],[HoursWorked_Clean]]&gt;=40,"Full-time","Part-time")</f>
        <v>Full-time</v>
      </c>
      <c r="Q31" t="str">
        <f>IF(OR(RawData[[#This Row],[AbsenceDays]]&gt;=4,RawData[[#This Row],[LateDays]]&gt;=3),"At Risk","OK")</f>
        <v>OK</v>
      </c>
      <c r="R31" t="str">
        <f>IF(RawData[[#This Row],[OvertimeHours]]&gt;10,"High","Normal")</f>
        <v>Normal</v>
      </c>
    </row>
    <row r="32" spans="1:18" x14ac:dyDescent="0.2">
      <c r="A32">
        <v>2030</v>
      </c>
      <c r="B32" t="s">
        <v>31</v>
      </c>
      <c r="C32" t="s">
        <v>22</v>
      </c>
      <c r="D32" t="s">
        <v>20</v>
      </c>
      <c r="E32" t="s">
        <v>38</v>
      </c>
      <c r="F32" t="s">
        <v>33</v>
      </c>
      <c r="G32" t="s">
        <v>28</v>
      </c>
      <c r="H32">
        <v>51</v>
      </c>
      <c r="I32">
        <v>11</v>
      </c>
      <c r="J32">
        <v>1</v>
      </c>
      <c r="K32">
        <v>0</v>
      </c>
      <c r="L32" s="1">
        <v>45918</v>
      </c>
      <c r="M32" t="str">
        <f>PROPER(TRIM(RawData[[#This Row],[ShiftType]]))</f>
        <v>Weekend</v>
      </c>
      <c r="N32">
        <f>VALUE(TRIM(RawData[[#This Row],[HoursWorked]]))</f>
        <v>51</v>
      </c>
      <c r="O32" s="1">
        <f>IF(ISNUMBER(RawData[[#This Row],[StartDate]]),RawData[[#This Row],[StartDate]],DATEVALUE(RawData[[#This Row],[StartDate]]))</f>
        <v>45918</v>
      </c>
      <c r="P32" t="str">
        <f>IF(RawData[[#This Row],[HoursWorked_Clean]]&gt;=40,"Full-time","Part-time")</f>
        <v>Full-time</v>
      </c>
      <c r="Q32" t="str">
        <f>IF(OR(RawData[[#This Row],[AbsenceDays]]&gt;=4,RawData[[#This Row],[LateDays]]&gt;=3),"At Risk","OK")</f>
        <v>OK</v>
      </c>
      <c r="R32" t="str">
        <f>IF(RawData[[#This Row],[OvertimeHours]]&gt;10,"High","Normal")</f>
        <v>High</v>
      </c>
    </row>
    <row r="33" spans="1:18" x14ac:dyDescent="0.2">
      <c r="A33">
        <v>2031</v>
      </c>
      <c r="B33" t="s">
        <v>25</v>
      </c>
      <c r="C33" t="s">
        <v>26</v>
      </c>
      <c r="D33" t="s">
        <v>20</v>
      </c>
      <c r="E33" t="s">
        <v>15</v>
      </c>
      <c r="F33" t="s">
        <v>16</v>
      </c>
      <c r="G33" t="s">
        <v>17</v>
      </c>
      <c r="H33">
        <v>30</v>
      </c>
      <c r="I33">
        <v>0</v>
      </c>
      <c r="J33">
        <v>1</v>
      </c>
      <c r="K33">
        <v>1</v>
      </c>
      <c r="L33" s="1">
        <v>45981</v>
      </c>
      <c r="M33" t="str">
        <f>PROPER(TRIM(RawData[[#This Row],[ShiftType]]))</f>
        <v>Night</v>
      </c>
      <c r="N33">
        <f>VALUE(TRIM(RawData[[#This Row],[HoursWorked]]))</f>
        <v>30</v>
      </c>
      <c r="O33" s="1">
        <f>IF(ISNUMBER(RawData[[#This Row],[StartDate]]),RawData[[#This Row],[StartDate]],DATEVALUE(RawData[[#This Row],[StartDate]]))</f>
        <v>45981</v>
      </c>
      <c r="P33" t="str">
        <f>IF(RawData[[#This Row],[HoursWorked_Clean]]&gt;=40,"Full-time","Part-time")</f>
        <v>Part-time</v>
      </c>
      <c r="Q33" t="str">
        <f>IF(OR(RawData[[#This Row],[AbsenceDays]]&gt;=4,RawData[[#This Row],[LateDays]]&gt;=3),"At Risk","OK")</f>
        <v>OK</v>
      </c>
      <c r="R33" t="str">
        <f>IF(RawData[[#This Row],[OvertimeHours]]&gt;10,"High","Normal")</f>
        <v>Normal</v>
      </c>
    </row>
    <row r="34" spans="1:18" x14ac:dyDescent="0.2">
      <c r="A34">
        <v>2032</v>
      </c>
      <c r="B34" t="s">
        <v>25</v>
      </c>
      <c r="C34" t="s">
        <v>26</v>
      </c>
      <c r="D34" t="s">
        <v>34</v>
      </c>
      <c r="E34" t="s">
        <v>23</v>
      </c>
      <c r="F34" t="s">
        <v>33</v>
      </c>
      <c r="G34" t="s">
        <v>17</v>
      </c>
      <c r="H34">
        <v>39</v>
      </c>
      <c r="I34">
        <v>0</v>
      </c>
      <c r="J34">
        <v>2</v>
      </c>
      <c r="K34">
        <v>4</v>
      </c>
      <c r="L34" s="1">
        <v>45931</v>
      </c>
      <c r="M34" t="str">
        <f>PROPER(TRIM(RawData[[#This Row],[ShiftType]]))</f>
        <v>Weekend</v>
      </c>
      <c r="N34">
        <f>VALUE(TRIM(RawData[[#This Row],[HoursWorked]]))</f>
        <v>39</v>
      </c>
      <c r="O34" s="1">
        <f>IF(ISNUMBER(RawData[[#This Row],[StartDate]]),RawData[[#This Row],[StartDate]],DATEVALUE(RawData[[#This Row],[StartDate]]))</f>
        <v>45931</v>
      </c>
      <c r="P34" t="str">
        <f>IF(RawData[[#This Row],[HoursWorked_Clean]]&gt;=40,"Full-time","Part-time")</f>
        <v>Part-time</v>
      </c>
      <c r="Q34" t="str">
        <f>IF(OR(RawData[[#This Row],[AbsenceDays]]&gt;=4,RawData[[#This Row],[LateDays]]&gt;=3),"At Risk","OK")</f>
        <v>At Risk</v>
      </c>
      <c r="R34" t="str">
        <f>IF(RawData[[#This Row],[OvertimeHours]]&gt;10,"High","Normal")</f>
        <v>Normal</v>
      </c>
    </row>
    <row r="35" spans="1:18" x14ac:dyDescent="0.2">
      <c r="A35">
        <v>2033</v>
      </c>
      <c r="B35" t="s">
        <v>25</v>
      </c>
      <c r="C35" t="s">
        <v>26</v>
      </c>
      <c r="D35" t="s">
        <v>34</v>
      </c>
      <c r="E35" t="s">
        <v>35</v>
      </c>
      <c r="F35" t="s">
        <v>33</v>
      </c>
      <c r="G35" t="s">
        <v>28</v>
      </c>
      <c r="H35">
        <v>47</v>
      </c>
      <c r="I35">
        <v>7</v>
      </c>
      <c r="J35">
        <v>1</v>
      </c>
      <c r="K35">
        <v>4</v>
      </c>
      <c r="L35" s="1">
        <v>45917</v>
      </c>
      <c r="M35" t="str">
        <f>PROPER(TRIM(RawData[[#This Row],[ShiftType]]))</f>
        <v>Weekend</v>
      </c>
      <c r="N35">
        <f>VALUE(TRIM(RawData[[#This Row],[HoursWorked]]))</f>
        <v>47</v>
      </c>
      <c r="O35" s="1">
        <f>IF(ISNUMBER(RawData[[#This Row],[StartDate]]),RawData[[#This Row],[StartDate]],DATEVALUE(RawData[[#This Row],[StartDate]]))</f>
        <v>45917</v>
      </c>
      <c r="P35" t="str">
        <f>IF(RawData[[#This Row],[HoursWorked_Clean]]&gt;=40,"Full-time","Part-time")</f>
        <v>Full-time</v>
      </c>
      <c r="Q35" t="str">
        <f>IF(OR(RawData[[#This Row],[AbsenceDays]]&gt;=4,RawData[[#This Row],[LateDays]]&gt;=3),"At Risk","OK")</f>
        <v>At Risk</v>
      </c>
      <c r="R35" t="str">
        <f>IF(RawData[[#This Row],[OvertimeHours]]&gt;10,"High","Normal")</f>
        <v>Normal</v>
      </c>
    </row>
    <row r="36" spans="1:18" x14ac:dyDescent="0.2">
      <c r="A36">
        <v>2034</v>
      </c>
      <c r="B36" t="s">
        <v>21</v>
      </c>
      <c r="C36" t="s">
        <v>22</v>
      </c>
      <c r="D36" t="s">
        <v>14</v>
      </c>
      <c r="E36" t="s">
        <v>23</v>
      </c>
      <c r="F36" t="s">
        <v>16</v>
      </c>
      <c r="G36" t="s">
        <v>17</v>
      </c>
      <c r="H36">
        <v>30</v>
      </c>
      <c r="I36">
        <v>0</v>
      </c>
      <c r="J36">
        <v>5</v>
      </c>
      <c r="K36">
        <v>1</v>
      </c>
      <c r="L36" s="1">
        <v>45965</v>
      </c>
      <c r="M36" t="str">
        <f>PROPER(TRIM(RawData[[#This Row],[ShiftType]]))</f>
        <v>Night</v>
      </c>
      <c r="N36">
        <f>VALUE(TRIM(RawData[[#This Row],[HoursWorked]]))</f>
        <v>30</v>
      </c>
      <c r="O36" s="1">
        <f>IF(ISNUMBER(RawData[[#This Row],[StartDate]]),RawData[[#This Row],[StartDate]],DATEVALUE(RawData[[#This Row],[StartDate]]))</f>
        <v>45965</v>
      </c>
      <c r="P36" t="str">
        <f>IF(RawData[[#This Row],[HoursWorked_Clean]]&gt;=40,"Full-time","Part-time")</f>
        <v>Part-time</v>
      </c>
      <c r="Q36" t="str">
        <f>IF(OR(RawData[[#This Row],[AbsenceDays]]&gt;=4,RawData[[#This Row],[LateDays]]&gt;=3),"At Risk","OK")</f>
        <v>At Risk</v>
      </c>
      <c r="R36" t="str">
        <f>IF(RawData[[#This Row],[OvertimeHours]]&gt;10,"High","Normal")</f>
        <v>Normal</v>
      </c>
    </row>
    <row r="37" spans="1:18" x14ac:dyDescent="0.2">
      <c r="A37">
        <v>2035</v>
      </c>
      <c r="B37" t="s">
        <v>25</v>
      </c>
      <c r="C37" t="s">
        <v>26</v>
      </c>
      <c r="D37" t="s">
        <v>27</v>
      </c>
      <c r="E37" t="s">
        <v>32</v>
      </c>
      <c r="F37" t="s">
        <v>24</v>
      </c>
      <c r="G37" t="s">
        <v>17</v>
      </c>
      <c r="H37">
        <v>45</v>
      </c>
      <c r="I37">
        <v>10</v>
      </c>
      <c r="J37">
        <v>4</v>
      </c>
      <c r="K37">
        <v>0</v>
      </c>
      <c r="L37" s="1">
        <v>45967</v>
      </c>
      <c r="M37" t="str">
        <f>PROPER(TRIM(RawData[[#This Row],[ShiftType]]))</f>
        <v>Day</v>
      </c>
      <c r="N37">
        <f>VALUE(TRIM(RawData[[#This Row],[HoursWorked]]))</f>
        <v>45</v>
      </c>
      <c r="O37" s="1">
        <f>IF(ISNUMBER(RawData[[#This Row],[StartDate]]),RawData[[#This Row],[StartDate]],DATEVALUE(RawData[[#This Row],[StartDate]]))</f>
        <v>45967</v>
      </c>
      <c r="P37" t="str">
        <f>IF(RawData[[#This Row],[HoursWorked_Clean]]&gt;=40,"Full-time","Part-time")</f>
        <v>Full-time</v>
      </c>
      <c r="Q37" t="str">
        <f>IF(OR(RawData[[#This Row],[AbsenceDays]]&gt;=4,RawData[[#This Row],[LateDays]]&gt;=3),"At Risk","OK")</f>
        <v>At Risk</v>
      </c>
      <c r="R37" t="str">
        <f>IF(RawData[[#This Row],[OvertimeHours]]&gt;10,"High","Normal")</f>
        <v>Normal</v>
      </c>
    </row>
    <row r="38" spans="1:18" x14ac:dyDescent="0.2">
      <c r="A38">
        <v>2036</v>
      </c>
      <c r="B38" t="s">
        <v>36</v>
      </c>
      <c r="C38" t="s">
        <v>37</v>
      </c>
      <c r="D38" t="s">
        <v>34</v>
      </c>
      <c r="E38" t="s">
        <v>38</v>
      </c>
      <c r="F38" t="s">
        <v>24</v>
      </c>
      <c r="G38" t="s">
        <v>28</v>
      </c>
      <c r="H38">
        <v>33</v>
      </c>
      <c r="I38">
        <v>0</v>
      </c>
      <c r="J38">
        <v>6</v>
      </c>
      <c r="K38">
        <v>3</v>
      </c>
      <c r="L38" s="1">
        <v>45928</v>
      </c>
      <c r="M38" t="str">
        <f>PROPER(TRIM(RawData[[#This Row],[ShiftType]]))</f>
        <v>Day</v>
      </c>
      <c r="N38">
        <f>VALUE(TRIM(RawData[[#This Row],[HoursWorked]]))</f>
        <v>33</v>
      </c>
      <c r="O38" s="1">
        <f>IF(ISNUMBER(RawData[[#This Row],[StartDate]]),RawData[[#This Row],[StartDate]],DATEVALUE(RawData[[#This Row],[StartDate]]))</f>
        <v>45928</v>
      </c>
      <c r="P38" t="str">
        <f>IF(RawData[[#This Row],[HoursWorked_Clean]]&gt;=40,"Full-time","Part-time")</f>
        <v>Part-time</v>
      </c>
      <c r="Q38" t="str">
        <f>IF(OR(RawData[[#This Row],[AbsenceDays]]&gt;=4,RawData[[#This Row],[LateDays]]&gt;=3),"At Risk","OK")</f>
        <v>At Risk</v>
      </c>
      <c r="R38" t="str">
        <f>IF(RawData[[#This Row],[OvertimeHours]]&gt;10,"High","Normal")</f>
        <v>Normal</v>
      </c>
    </row>
    <row r="39" spans="1:18" x14ac:dyDescent="0.2">
      <c r="A39">
        <v>2037</v>
      </c>
      <c r="B39" t="s">
        <v>12</v>
      </c>
      <c r="C39" t="s">
        <v>13</v>
      </c>
      <c r="D39" t="s">
        <v>20</v>
      </c>
      <c r="E39" t="s">
        <v>30</v>
      </c>
      <c r="F39" t="s">
        <v>16</v>
      </c>
      <c r="G39" t="s">
        <v>17</v>
      </c>
      <c r="H39">
        <v>48</v>
      </c>
      <c r="I39">
        <v>8</v>
      </c>
      <c r="J39">
        <v>6</v>
      </c>
      <c r="K39">
        <v>2</v>
      </c>
      <c r="L39" s="1">
        <v>45949</v>
      </c>
      <c r="M39" t="str">
        <f>PROPER(TRIM(RawData[[#This Row],[ShiftType]]))</f>
        <v>Night</v>
      </c>
      <c r="N39">
        <f>VALUE(TRIM(RawData[[#This Row],[HoursWorked]]))</f>
        <v>48</v>
      </c>
      <c r="O39" s="1">
        <f>IF(ISNUMBER(RawData[[#This Row],[StartDate]]),RawData[[#This Row],[StartDate]],DATEVALUE(RawData[[#This Row],[StartDate]]))</f>
        <v>45949</v>
      </c>
      <c r="P39" t="str">
        <f>IF(RawData[[#This Row],[HoursWorked_Clean]]&gt;=40,"Full-time","Part-time")</f>
        <v>Full-time</v>
      </c>
      <c r="Q39" t="str">
        <f>IF(OR(RawData[[#This Row],[AbsenceDays]]&gt;=4,RawData[[#This Row],[LateDays]]&gt;=3),"At Risk","OK")</f>
        <v>At Risk</v>
      </c>
      <c r="R39" t="str">
        <f>IF(RawData[[#This Row],[OvertimeHours]]&gt;10,"High","Normal")</f>
        <v>Normal</v>
      </c>
    </row>
    <row r="40" spans="1:18" x14ac:dyDescent="0.2">
      <c r="A40">
        <v>2038</v>
      </c>
      <c r="B40" t="s">
        <v>21</v>
      </c>
      <c r="C40" t="s">
        <v>22</v>
      </c>
      <c r="D40" t="s">
        <v>34</v>
      </c>
      <c r="E40" t="s">
        <v>15</v>
      </c>
      <c r="F40" t="s">
        <v>24</v>
      </c>
      <c r="G40" t="s">
        <v>17</v>
      </c>
      <c r="H40">
        <v>51</v>
      </c>
      <c r="I40">
        <v>11</v>
      </c>
      <c r="J40">
        <v>5</v>
      </c>
      <c r="K40">
        <v>3</v>
      </c>
      <c r="L40" s="1">
        <v>45987</v>
      </c>
      <c r="M40" t="str">
        <f>PROPER(TRIM(RawData[[#This Row],[ShiftType]]))</f>
        <v>Day</v>
      </c>
      <c r="N40">
        <f>VALUE(TRIM(RawData[[#This Row],[HoursWorked]]))</f>
        <v>51</v>
      </c>
      <c r="O40" s="1">
        <f>IF(ISNUMBER(RawData[[#This Row],[StartDate]]),RawData[[#This Row],[StartDate]],DATEVALUE(RawData[[#This Row],[StartDate]]))</f>
        <v>45987</v>
      </c>
      <c r="P40" t="str">
        <f>IF(RawData[[#This Row],[HoursWorked_Clean]]&gt;=40,"Full-time","Part-time")</f>
        <v>Full-time</v>
      </c>
      <c r="Q40" t="str">
        <f>IF(OR(RawData[[#This Row],[AbsenceDays]]&gt;=4,RawData[[#This Row],[LateDays]]&gt;=3),"At Risk","OK")</f>
        <v>At Risk</v>
      </c>
      <c r="R40" t="str">
        <f>IF(RawData[[#This Row],[OvertimeHours]]&gt;10,"High","Normal")</f>
        <v>High</v>
      </c>
    </row>
    <row r="41" spans="1:18" x14ac:dyDescent="0.2">
      <c r="A41">
        <v>2039</v>
      </c>
      <c r="B41" t="s">
        <v>25</v>
      </c>
      <c r="C41" t="s">
        <v>26</v>
      </c>
      <c r="D41" t="s">
        <v>27</v>
      </c>
      <c r="E41" t="s">
        <v>15</v>
      </c>
      <c r="F41" t="s">
        <v>33</v>
      </c>
      <c r="G41" t="s">
        <v>28</v>
      </c>
      <c r="H41">
        <v>35</v>
      </c>
      <c r="I41">
        <v>0</v>
      </c>
      <c r="J41">
        <v>3</v>
      </c>
      <c r="K41">
        <v>1</v>
      </c>
      <c r="L41" s="1">
        <v>45944</v>
      </c>
      <c r="M41" t="str">
        <f>PROPER(TRIM(RawData[[#This Row],[ShiftType]]))</f>
        <v>Weekend</v>
      </c>
      <c r="N41">
        <f>VALUE(TRIM(RawData[[#This Row],[HoursWorked]]))</f>
        <v>35</v>
      </c>
      <c r="O41" s="1">
        <f>IF(ISNUMBER(RawData[[#This Row],[StartDate]]),RawData[[#This Row],[StartDate]],DATEVALUE(RawData[[#This Row],[StartDate]]))</f>
        <v>45944</v>
      </c>
      <c r="P41" t="str">
        <f>IF(RawData[[#This Row],[HoursWorked_Clean]]&gt;=40,"Full-time","Part-time")</f>
        <v>Part-time</v>
      </c>
      <c r="Q41" t="str">
        <f>IF(OR(RawData[[#This Row],[AbsenceDays]]&gt;=4,RawData[[#This Row],[LateDays]]&gt;=3),"At Risk","OK")</f>
        <v>OK</v>
      </c>
      <c r="R41" t="str">
        <f>IF(RawData[[#This Row],[OvertimeHours]]&gt;10,"High","Normal")</f>
        <v>Normal</v>
      </c>
    </row>
    <row r="42" spans="1:18" x14ac:dyDescent="0.2">
      <c r="A42">
        <v>2040</v>
      </c>
      <c r="B42" t="s">
        <v>31</v>
      </c>
      <c r="C42" t="s">
        <v>22</v>
      </c>
      <c r="D42" t="s">
        <v>34</v>
      </c>
      <c r="E42" t="s">
        <v>23</v>
      </c>
      <c r="F42" t="s">
        <v>33</v>
      </c>
      <c r="G42" t="s">
        <v>28</v>
      </c>
      <c r="H42">
        <v>54</v>
      </c>
      <c r="I42">
        <v>14</v>
      </c>
      <c r="J42">
        <v>0</v>
      </c>
      <c r="K42">
        <v>1</v>
      </c>
      <c r="L42" s="1">
        <v>45941</v>
      </c>
      <c r="M42" t="str">
        <f>PROPER(TRIM(RawData[[#This Row],[ShiftType]]))</f>
        <v>Weekend</v>
      </c>
      <c r="N42">
        <f>VALUE(TRIM(RawData[[#This Row],[HoursWorked]]))</f>
        <v>54</v>
      </c>
      <c r="O42" s="1">
        <f>IF(ISNUMBER(RawData[[#This Row],[StartDate]]),RawData[[#This Row],[StartDate]],DATEVALUE(RawData[[#This Row],[StartDate]]))</f>
        <v>45941</v>
      </c>
      <c r="P42" t="str">
        <f>IF(RawData[[#This Row],[HoursWorked_Clean]]&gt;=40,"Full-time","Part-time")</f>
        <v>Full-time</v>
      </c>
      <c r="Q42" t="str">
        <f>IF(OR(RawData[[#This Row],[AbsenceDays]]&gt;=4,RawData[[#This Row],[LateDays]]&gt;=3),"At Risk","OK")</f>
        <v>OK</v>
      </c>
      <c r="R42" t="str">
        <f>IF(RawData[[#This Row],[OvertimeHours]]&gt;10,"High","Normal")</f>
        <v>High</v>
      </c>
    </row>
    <row r="43" spans="1:18" x14ac:dyDescent="0.2">
      <c r="A43">
        <v>2041</v>
      </c>
      <c r="B43" t="s">
        <v>21</v>
      </c>
      <c r="C43" t="s">
        <v>22</v>
      </c>
      <c r="D43" t="s">
        <v>14</v>
      </c>
      <c r="E43" t="s">
        <v>38</v>
      </c>
      <c r="F43" t="s">
        <v>29</v>
      </c>
      <c r="G43" t="s">
        <v>28</v>
      </c>
      <c r="H43">
        <v>35</v>
      </c>
      <c r="I43">
        <v>0</v>
      </c>
      <c r="J43">
        <v>3</v>
      </c>
      <c r="K43">
        <v>3</v>
      </c>
      <c r="L43" s="1">
        <v>45972</v>
      </c>
      <c r="M43" t="str">
        <f>PROPER(TRIM(RawData[[#This Row],[ShiftType]]))</f>
        <v>Night</v>
      </c>
      <c r="N43">
        <f>VALUE(TRIM(RawData[[#This Row],[HoursWorked]]))</f>
        <v>35</v>
      </c>
      <c r="O43" s="1">
        <f>IF(ISNUMBER(RawData[[#This Row],[StartDate]]),RawData[[#This Row],[StartDate]],DATEVALUE(RawData[[#This Row],[StartDate]]))</f>
        <v>45972</v>
      </c>
      <c r="P43" t="str">
        <f>IF(RawData[[#This Row],[HoursWorked_Clean]]&gt;=40,"Full-time","Part-time")</f>
        <v>Part-time</v>
      </c>
      <c r="Q43" t="str">
        <f>IF(OR(RawData[[#This Row],[AbsenceDays]]&gt;=4,RawData[[#This Row],[LateDays]]&gt;=3),"At Risk","OK")</f>
        <v>At Risk</v>
      </c>
      <c r="R43" t="str">
        <f>IF(RawData[[#This Row],[OvertimeHours]]&gt;10,"High","Normal")</f>
        <v>Normal</v>
      </c>
    </row>
    <row r="44" spans="1:18" x14ac:dyDescent="0.2">
      <c r="A44">
        <v>2042</v>
      </c>
      <c r="B44" t="s">
        <v>31</v>
      </c>
      <c r="C44" t="s">
        <v>22</v>
      </c>
      <c r="D44" t="s">
        <v>34</v>
      </c>
      <c r="E44" t="s">
        <v>32</v>
      </c>
      <c r="F44" t="s">
        <v>16</v>
      </c>
      <c r="G44" t="s">
        <v>17</v>
      </c>
      <c r="H44">
        <v>45</v>
      </c>
      <c r="I44">
        <v>0</v>
      </c>
      <c r="J44">
        <v>5</v>
      </c>
      <c r="K44">
        <v>0</v>
      </c>
      <c r="L44" s="1">
        <v>45929</v>
      </c>
      <c r="M44" t="str">
        <f>PROPER(TRIM(RawData[[#This Row],[ShiftType]]))</f>
        <v>Night</v>
      </c>
      <c r="N44">
        <f>VALUE(TRIM(RawData[[#This Row],[HoursWorked]]))</f>
        <v>45</v>
      </c>
      <c r="O44" s="1">
        <f>IF(ISNUMBER(RawData[[#This Row],[StartDate]]),RawData[[#This Row],[StartDate]],DATEVALUE(RawData[[#This Row],[StartDate]]))</f>
        <v>45929</v>
      </c>
      <c r="P44" t="str">
        <f>IF(RawData[[#This Row],[HoursWorked_Clean]]&gt;=40,"Full-time","Part-time")</f>
        <v>Full-time</v>
      </c>
      <c r="Q44" t="str">
        <f>IF(OR(RawData[[#This Row],[AbsenceDays]]&gt;=4,RawData[[#This Row],[LateDays]]&gt;=3),"At Risk","OK")</f>
        <v>At Risk</v>
      </c>
      <c r="R44" t="str">
        <f>IF(RawData[[#This Row],[OvertimeHours]]&gt;10,"High","Normal")</f>
        <v>Normal</v>
      </c>
    </row>
    <row r="45" spans="1:18" x14ac:dyDescent="0.2">
      <c r="A45">
        <v>2043</v>
      </c>
      <c r="B45" t="s">
        <v>21</v>
      </c>
      <c r="C45" t="s">
        <v>22</v>
      </c>
      <c r="D45" t="s">
        <v>27</v>
      </c>
      <c r="E45" t="s">
        <v>23</v>
      </c>
      <c r="F45" t="s">
        <v>16</v>
      </c>
      <c r="G45" t="s">
        <v>28</v>
      </c>
      <c r="H45">
        <v>43</v>
      </c>
      <c r="I45">
        <v>3</v>
      </c>
      <c r="J45">
        <v>6</v>
      </c>
      <c r="K45">
        <v>3</v>
      </c>
      <c r="L45" s="1">
        <v>45990</v>
      </c>
      <c r="M45" t="str">
        <f>PROPER(TRIM(RawData[[#This Row],[ShiftType]]))</f>
        <v>Night</v>
      </c>
      <c r="N45">
        <f>VALUE(TRIM(RawData[[#This Row],[HoursWorked]]))</f>
        <v>43</v>
      </c>
      <c r="O45" s="1">
        <f>IF(ISNUMBER(RawData[[#This Row],[StartDate]]),RawData[[#This Row],[StartDate]],DATEVALUE(RawData[[#This Row],[StartDate]]))</f>
        <v>45990</v>
      </c>
      <c r="P45" t="str">
        <f>IF(RawData[[#This Row],[HoursWorked_Clean]]&gt;=40,"Full-time","Part-time")</f>
        <v>Full-time</v>
      </c>
      <c r="Q45" t="str">
        <f>IF(OR(RawData[[#This Row],[AbsenceDays]]&gt;=4,RawData[[#This Row],[LateDays]]&gt;=3),"At Risk","OK")</f>
        <v>At Risk</v>
      </c>
      <c r="R45" t="str">
        <f>IF(RawData[[#This Row],[OvertimeHours]]&gt;10,"High","Normal")</f>
        <v>Normal</v>
      </c>
    </row>
    <row r="46" spans="1:18" x14ac:dyDescent="0.2">
      <c r="A46">
        <v>2044</v>
      </c>
      <c r="B46" t="s">
        <v>31</v>
      </c>
      <c r="C46" t="s">
        <v>22</v>
      </c>
      <c r="D46" t="s">
        <v>34</v>
      </c>
      <c r="E46" t="s">
        <v>38</v>
      </c>
      <c r="F46" t="s">
        <v>16</v>
      </c>
      <c r="G46" t="s">
        <v>28</v>
      </c>
      <c r="H46">
        <v>55</v>
      </c>
      <c r="I46">
        <v>15</v>
      </c>
      <c r="J46">
        <v>6</v>
      </c>
      <c r="K46">
        <v>1</v>
      </c>
      <c r="L46" s="1">
        <v>45986</v>
      </c>
      <c r="M46" t="str">
        <f>PROPER(TRIM(RawData[[#This Row],[ShiftType]]))</f>
        <v>Night</v>
      </c>
      <c r="N46">
        <f>VALUE(TRIM(RawData[[#This Row],[HoursWorked]]))</f>
        <v>55</v>
      </c>
      <c r="O46" s="1">
        <f>IF(ISNUMBER(RawData[[#This Row],[StartDate]]),RawData[[#This Row],[StartDate]],DATEVALUE(RawData[[#This Row],[StartDate]]))</f>
        <v>45986</v>
      </c>
      <c r="P46" t="str">
        <f>IF(RawData[[#This Row],[HoursWorked_Clean]]&gt;=40,"Full-time","Part-time")</f>
        <v>Full-time</v>
      </c>
      <c r="Q46" t="str">
        <f>IF(OR(RawData[[#This Row],[AbsenceDays]]&gt;=4,RawData[[#This Row],[LateDays]]&gt;=3),"At Risk","OK")</f>
        <v>At Risk</v>
      </c>
      <c r="R46" t="str">
        <f>IF(RawData[[#This Row],[OvertimeHours]]&gt;10,"High","Normal")</f>
        <v>High</v>
      </c>
    </row>
    <row r="47" spans="1:18" x14ac:dyDescent="0.2">
      <c r="A47">
        <v>2045</v>
      </c>
      <c r="B47" t="s">
        <v>12</v>
      </c>
      <c r="C47" t="s">
        <v>13</v>
      </c>
      <c r="D47" t="s">
        <v>20</v>
      </c>
      <c r="E47" t="s">
        <v>35</v>
      </c>
      <c r="F47" t="s">
        <v>16</v>
      </c>
      <c r="G47" t="s">
        <v>28</v>
      </c>
      <c r="H47">
        <v>60</v>
      </c>
      <c r="I47">
        <v>20</v>
      </c>
      <c r="J47">
        <v>5</v>
      </c>
      <c r="K47">
        <v>1</v>
      </c>
      <c r="L47" s="1">
        <v>45934</v>
      </c>
      <c r="M47" t="str">
        <f>PROPER(TRIM(RawData[[#This Row],[ShiftType]]))</f>
        <v>Night</v>
      </c>
      <c r="N47">
        <f>VALUE(TRIM(RawData[[#This Row],[HoursWorked]]))</f>
        <v>60</v>
      </c>
      <c r="O47" s="1">
        <f>IF(ISNUMBER(RawData[[#This Row],[StartDate]]),RawData[[#This Row],[StartDate]],DATEVALUE(RawData[[#This Row],[StartDate]]))</f>
        <v>45934</v>
      </c>
      <c r="P47" t="str">
        <f>IF(RawData[[#This Row],[HoursWorked_Clean]]&gt;=40,"Full-time","Part-time")</f>
        <v>Full-time</v>
      </c>
      <c r="Q47" t="str">
        <f>IF(OR(RawData[[#This Row],[AbsenceDays]]&gt;=4,RawData[[#This Row],[LateDays]]&gt;=3),"At Risk","OK")</f>
        <v>At Risk</v>
      </c>
      <c r="R47" t="str">
        <f>IF(RawData[[#This Row],[OvertimeHours]]&gt;10,"High","Normal")</f>
        <v>High</v>
      </c>
    </row>
    <row r="48" spans="1:18" x14ac:dyDescent="0.2">
      <c r="A48">
        <v>2046</v>
      </c>
      <c r="B48" t="s">
        <v>31</v>
      </c>
      <c r="C48" t="s">
        <v>22</v>
      </c>
      <c r="D48" t="s">
        <v>27</v>
      </c>
      <c r="E48" t="s">
        <v>23</v>
      </c>
      <c r="F48" t="s">
        <v>33</v>
      </c>
      <c r="G48" t="s">
        <v>28</v>
      </c>
      <c r="H48">
        <v>34</v>
      </c>
      <c r="I48">
        <v>0</v>
      </c>
      <c r="J48">
        <v>6</v>
      </c>
      <c r="K48">
        <v>4</v>
      </c>
      <c r="L48" s="1">
        <v>45940</v>
      </c>
      <c r="M48" t="str">
        <f>PROPER(TRIM(RawData[[#This Row],[ShiftType]]))</f>
        <v>Weekend</v>
      </c>
      <c r="N48">
        <f>VALUE(TRIM(RawData[[#This Row],[HoursWorked]]))</f>
        <v>34</v>
      </c>
      <c r="O48" s="1">
        <f>IF(ISNUMBER(RawData[[#This Row],[StartDate]]),RawData[[#This Row],[StartDate]],DATEVALUE(RawData[[#This Row],[StartDate]]))</f>
        <v>45940</v>
      </c>
      <c r="P48" t="str">
        <f>IF(RawData[[#This Row],[HoursWorked_Clean]]&gt;=40,"Full-time","Part-time")</f>
        <v>Part-time</v>
      </c>
      <c r="Q48" t="str">
        <f>IF(OR(RawData[[#This Row],[AbsenceDays]]&gt;=4,RawData[[#This Row],[LateDays]]&gt;=3),"At Risk","OK")</f>
        <v>At Risk</v>
      </c>
      <c r="R48" t="str">
        <f>IF(RawData[[#This Row],[OvertimeHours]]&gt;10,"High","Normal")</f>
        <v>Normal</v>
      </c>
    </row>
    <row r="49" spans="1:18" x14ac:dyDescent="0.2">
      <c r="A49">
        <v>2047</v>
      </c>
      <c r="B49" t="s">
        <v>31</v>
      </c>
      <c r="C49" t="s">
        <v>22</v>
      </c>
      <c r="D49" t="s">
        <v>20</v>
      </c>
      <c r="E49" t="s">
        <v>15</v>
      </c>
      <c r="F49" t="s">
        <v>33</v>
      </c>
      <c r="G49" t="s">
        <v>28</v>
      </c>
      <c r="H49">
        <v>57</v>
      </c>
      <c r="I49">
        <v>17</v>
      </c>
      <c r="J49">
        <v>1</v>
      </c>
      <c r="K49">
        <v>0</v>
      </c>
      <c r="L49" s="1">
        <v>45904</v>
      </c>
      <c r="M49" t="str">
        <f>PROPER(TRIM(RawData[[#This Row],[ShiftType]]))</f>
        <v>Weekend</v>
      </c>
      <c r="N49">
        <f>VALUE(TRIM(RawData[[#This Row],[HoursWorked]]))</f>
        <v>57</v>
      </c>
      <c r="O49" s="1">
        <f>IF(ISNUMBER(RawData[[#This Row],[StartDate]]),RawData[[#This Row],[StartDate]],DATEVALUE(RawData[[#This Row],[StartDate]]))</f>
        <v>45904</v>
      </c>
      <c r="P49" t="str">
        <f>IF(RawData[[#This Row],[HoursWorked_Clean]]&gt;=40,"Full-time","Part-time")</f>
        <v>Full-time</v>
      </c>
      <c r="Q49" t="str">
        <f>IF(OR(RawData[[#This Row],[AbsenceDays]]&gt;=4,RawData[[#This Row],[LateDays]]&gt;=3),"At Risk","OK")</f>
        <v>OK</v>
      </c>
      <c r="R49" t="str">
        <f>IF(RawData[[#This Row],[OvertimeHours]]&gt;10,"High","Normal")</f>
        <v>High</v>
      </c>
    </row>
    <row r="50" spans="1:18" x14ac:dyDescent="0.2">
      <c r="A50">
        <v>2048</v>
      </c>
      <c r="B50" t="s">
        <v>21</v>
      </c>
      <c r="C50" t="s">
        <v>22</v>
      </c>
      <c r="D50" t="s">
        <v>27</v>
      </c>
      <c r="E50" t="s">
        <v>15</v>
      </c>
      <c r="F50" t="s">
        <v>24</v>
      </c>
      <c r="G50" t="s">
        <v>28</v>
      </c>
      <c r="H50">
        <v>39</v>
      </c>
      <c r="I50">
        <v>0</v>
      </c>
      <c r="J50">
        <v>4</v>
      </c>
      <c r="K50">
        <v>4</v>
      </c>
      <c r="L50" s="1">
        <v>45969</v>
      </c>
      <c r="M50" t="str">
        <f>PROPER(TRIM(RawData[[#This Row],[ShiftType]]))</f>
        <v>Day</v>
      </c>
      <c r="N50">
        <f>VALUE(TRIM(RawData[[#This Row],[HoursWorked]]))</f>
        <v>39</v>
      </c>
      <c r="O50" s="1">
        <f>IF(ISNUMBER(RawData[[#This Row],[StartDate]]),RawData[[#This Row],[StartDate]],DATEVALUE(RawData[[#This Row],[StartDate]]))</f>
        <v>45969</v>
      </c>
      <c r="P50" t="str">
        <f>IF(RawData[[#This Row],[HoursWorked_Clean]]&gt;=40,"Full-time","Part-time")</f>
        <v>Part-time</v>
      </c>
      <c r="Q50" t="str">
        <f>IF(OR(RawData[[#This Row],[AbsenceDays]]&gt;=4,RawData[[#This Row],[LateDays]]&gt;=3),"At Risk","OK")</f>
        <v>At Risk</v>
      </c>
      <c r="R50" t="str">
        <f>IF(RawData[[#This Row],[OvertimeHours]]&gt;10,"High","Normal")</f>
        <v>Normal</v>
      </c>
    </row>
    <row r="51" spans="1:18" x14ac:dyDescent="0.2">
      <c r="A51">
        <v>2049</v>
      </c>
      <c r="B51" t="s">
        <v>25</v>
      </c>
      <c r="C51" t="s">
        <v>26</v>
      </c>
      <c r="D51" t="s">
        <v>14</v>
      </c>
      <c r="E51" t="s">
        <v>35</v>
      </c>
      <c r="F51" t="s">
        <v>33</v>
      </c>
      <c r="G51" t="s">
        <v>28</v>
      </c>
      <c r="H51">
        <v>60</v>
      </c>
      <c r="I51">
        <v>20</v>
      </c>
      <c r="J51">
        <v>6</v>
      </c>
      <c r="K51">
        <v>0</v>
      </c>
      <c r="L51" s="1">
        <v>45975</v>
      </c>
      <c r="M51" t="str">
        <f>PROPER(TRIM(RawData[[#This Row],[ShiftType]]))</f>
        <v>Weekend</v>
      </c>
      <c r="N51">
        <f>VALUE(TRIM(RawData[[#This Row],[HoursWorked]]))</f>
        <v>60</v>
      </c>
      <c r="O51" s="1">
        <f>IF(ISNUMBER(RawData[[#This Row],[StartDate]]),RawData[[#This Row],[StartDate]],DATEVALUE(RawData[[#This Row],[StartDate]]))</f>
        <v>45975</v>
      </c>
      <c r="P51" t="str">
        <f>IF(RawData[[#This Row],[HoursWorked_Clean]]&gt;=40,"Full-time","Part-time")</f>
        <v>Full-time</v>
      </c>
      <c r="Q51" t="str">
        <f>IF(OR(RawData[[#This Row],[AbsenceDays]]&gt;=4,RawData[[#This Row],[LateDays]]&gt;=3),"At Risk","OK")</f>
        <v>At Risk</v>
      </c>
      <c r="R51" t="str">
        <f>IF(RawData[[#This Row],[OvertimeHours]]&gt;10,"High","Normal")</f>
        <v>High</v>
      </c>
    </row>
    <row r="52" spans="1:18" x14ac:dyDescent="0.2">
      <c r="A52">
        <v>2050</v>
      </c>
      <c r="B52" t="s">
        <v>21</v>
      </c>
      <c r="C52" t="s">
        <v>22</v>
      </c>
      <c r="D52" t="s">
        <v>27</v>
      </c>
      <c r="E52" t="s">
        <v>23</v>
      </c>
      <c r="F52" t="s">
        <v>24</v>
      </c>
      <c r="G52" t="s">
        <v>28</v>
      </c>
      <c r="H52">
        <v>60</v>
      </c>
      <c r="I52">
        <v>20</v>
      </c>
      <c r="J52">
        <v>1</v>
      </c>
      <c r="K52">
        <v>2</v>
      </c>
      <c r="L52" s="1">
        <v>45966</v>
      </c>
      <c r="M52" t="str">
        <f>PROPER(TRIM(RawData[[#This Row],[ShiftType]]))</f>
        <v>Day</v>
      </c>
      <c r="N52">
        <f>VALUE(TRIM(RawData[[#This Row],[HoursWorked]]))</f>
        <v>60</v>
      </c>
      <c r="O52" s="1">
        <f>IF(ISNUMBER(RawData[[#This Row],[StartDate]]),RawData[[#This Row],[StartDate]],DATEVALUE(RawData[[#This Row],[StartDate]]))</f>
        <v>45966</v>
      </c>
      <c r="P52" t="str">
        <f>IF(RawData[[#This Row],[HoursWorked_Clean]]&gt;=40,"Full-time","Part-time")</f>
        <v>Full-time</v>
      </c>
      <c r="Q52" t="str">
        <f>IF(OR(RawData[[#This Row],[AbsenceDays]]&gt;=4,RawData[[#This Row],[LateDays]]&gt;=3),"At Risk","OK")</f>
        <v>OK</v>
      </c>
      <c r="R52" t="str">
        <f>IF(RawData[[#This Row],[OvertimeHours]]&gt;10,"High","Normal")</f>
        <v>High</v>
      </c>
    </row>
    <row r="53" spans="1:18" x14ac:dyDescent="0.2">
      <c r="A53">
        <v>2051</v>
      </c>
      <c r="B53" t="s">
        <v>12</v>
      </c>
      <c r="C53" t="s">
        <v>13</v>
      </c>
      <c r="D53" t="s">
        <v>27</v>
      </c>
      <c r="E53" t="s">
        <v>23</v>
      </c>
      <c r="F53" t="s">
        <v>33</v>
      </c>
      <c r="G53" t="s">
        <v>17</v>
      </c>
      <c r="H53">
        <v>56</v>
      </c>
      <c r="I53">
        <v>16</v>
      </c>
      <c r="J53">
        <v>1</v>
      </c>
      <c r="K53">
        <v>3</v>
      </c>
      <c r="L53" s="1">
        <v>45914</v>
      </c>
      <c r="M53" t="str">
        <f>PROPER(TRIM(RawData[[#This Row],[ShiftType]]))</f>
        <v>Weekend</v>
      </c>
      <c r="N53">
        <f>VALUE(TRIM(RawData[[#This Row],[HoursWorked]]))</f>
        <v>56</v>
      </c>
      <c r="O53" s="1">
        <f>IF(ISNUMBER(RawData[[#This Row],[StartDate]]),RawData[[#This Row],[StartDate]],DATEVALUE(RawData[[#This Row],[StartDate]]))</f>
        <v>45914</v>
      </c>
      <c r="P53" t="str">
        <f>IF(RawData[[#This Row],[HoursWorked_Clean]]&gt;=40,"Full-time","Part-time")</f>
        <v>Full-time</v>
      </c>
      <c r="Q53" t="str">
        <f>IF(OR(RawData[[#This Row],[AbsenceDays]]&gt;=4,RawData[[#This Row],[LateDays]]&gt;=3),"At Risk","OK")</f>
        <v>At Risk</v>
      </c>
      <c r="R53" t="str">
        <f>IF(RawData[[#This Row],[OvertimeHours]]&gt;10,"High","Normal")</f>
        <v>High</v>
      </c>
    </row>
    <row r="54" spans="1:18" x14ac:dyDescent="0.2">
      <c r="A54">
        <v>2052</v>
      </c>
      <c r="B54" t="s">
        <v>18</v>
      </c>
      <c r="C54" t="s">
        <v>19</v>
      </c>
      <c r="D54" t="s">
        <v>34</v>
      </c>
      <c r="E54" t="s">
        <v>23</v>
      </c>
      <c r="F54" t="s">
        <v>24</v>
      </c>
      <c r="G54" t="s">
        <v>17</v>
      </c>
      <c r="H54">
        <v>41</v>
      </c>
      <c r="I54">
        <v>1</v>
      </c>
      <c r="J54">
        <v>4</v>
      </c>
      <c r="K54">
        <v>4</v>
      </c>
      <c r="L54" s="1">
        <v>45949</v>
      </c>
      <c r="M54" t="str">
        <f>PROPER(TRIM(RawData[[#This Row],[ShiftType]]))</f>
        <v>Day</v>
      </c>
      <c r="N54">
        <f>VALUE(TRIM(RawData[[#This Row],[HoursWorked]]))</f>
        <v>41</v>
      </c>
      <c r="O54" s="1">
        <f>IF(ISNUMBER(RawData[[#This Row],[StartDate]]),RawData[[#This Row],[StartDate]],DATEVALUE(RawData[[#This Row],[StartDate]]))</f>
        <v>45949</v>
      </c>
      <c r="P54" t="str">
        <f>IF(RawData[[#This Row],[HoursWorked_Clean]]&gt;=40,"Full-time","Part-time")</f>
        <v>Full-time</v>
      </c>
      <c r="Q54" t="str">
        <f>IF(OR(RawData[[#This Row],[AbsenceDays]]&gt;=4,RawData[[#This Row],[LateDays]]&gt;=3),"At Risk","OK")</f>
        <v>At Risk</v>
      </c>
      <c r="R54" t="str">
        <f>IF(RawData[[#This Row],[OvertimeHours]]&gt;10,"High","Normal")</f>
        <v>Normal</v>
      </c>
    </row>
    <row r="55" spans="1:18" x14ac:dyDescent="0.2">
      <c r="A55">
        <v>2053</v>
      </c>
      <c r="B55" t="s">
        <v>18</v>
      </c>
      <c r="C55" t="s">
        <v>19</v>
      </c>
      <c r="D55" t="s">
        <v>14</v>
      </c>
      <c r="E55" t="s">
        <v>15</v>
      </c>
      <c r="F55" t="s">
        <v>24</v>
      </c>
      <c r="G55" t="s">
        <v>28</v>
      </c>
      <c r="H55">
        <v>60</v>
      </c>
      <c r="I55">
        <v>20</v>
      </c>
      <c r="J55">
        <v>2</v>
      </c>
      <c r="K55">
        <v>2</v>
      </c>
      <c r="L55" s="1">
        <v>45941</v>
      </c>
      <c r="M55" t="str">
        <f>PROPER(TRIM(RawData[[#This Row],[ShiftType]]))</f>
        <v>Day</v>
      </c>
      <c r="N55">
        <f>VALUE(TRIM(RawData[[#This Row],[HoursWorked]]))</f>
        <v>60</v>
      </c>
      <c r="O55" s="1">
        <f>IF(ISNUMBER(RawData[[#This Row],[StartDate]]),RawData[[#This Row],[StartDate]],DATEVALUE(RawData[[#This Row],[StartDate]]))</f>
        <v>45941</v>
      </c>
      <c r="P55" t="str">
        <f>IF(RawData[[#This Row],[HoursWorked_Clean]]&gt;=40,"Full-time","Part-time")</f>
        <v>Full-time</v>
      </c>
      <c r="Q55" t="str">
        <f>IF(OR(RawData[[#This Row],[AbsenceDays]]&gt;=4,RawData[[#This Row],[LateDays]]&gt;=3),"At Risk","OK")</f>
        <v>OK</v>
      </c>
      <c r="R55" t="str">
        <f>IF(RawData[[#This Row],[OvertimeHours]]&gt;10,"High","Normal")</f>
        <v>High</v>
      </c>
    </row>
    <row r="56" spans="1:18" x14ac:dyDescent="0.2">
      <c r="A56">
        <v>2054</v>
      </c>
      <c r="B56" t="s">
        <v>12</v>
      </c>
      <c r="C56" t="s">
        <v>13</v>
      </c>
      <c r="D56" t="s">
        <v>14</v>
      </c>
      <c r="E56" t="s">
        <v>15</v>
      </c>
      <c r="F56" t="s">
        <v>24</v>
      </c>
      <c r="G56" t="s">
        <v>28</v>
      </c>
      <c r="H56">
        <v>44</v>
      </c>
      <c r="I56">
        <v>4</v>
      </c>
      <c r="J56">
        <v>0</v>
      </c>
      <c r="K56">
        <v>2</v>
      </c>
      <c r="L56" s="1">
        <v>45970</v>
      </c>
      <c r="M56" t="str">
        <f>PROPER(TRIM(RawData[[#This Row],[ShiftType]]))</f>
        <v>Day</v>
      </c>
      <c r="N56">
        <f>VALUE(TRIM(RawData[[#This Row],[HoursWorked]]))</f>
        <v>44</v>
      </c>
      <c r="O56" s="1">
        <f>IF(ISNUMBER(RawData[[#This Row],[StartDate]]),RawData[[#This Row],[StartDate]],DATEVALUE(RawData[[#This Row],[StartDate]]))</f>
        <v>45970</v>
      </c>
      <c r="P56" t="str">
        <f>IF(RawData[[#This Row],[HoursWorked_Clean]]&gt;=40,"Full-time","Part-time")</f>
        <v>Full-time</v>
      </c>
      <c r="Q56" t="str">
        <f>IF(OR(RawData[[#This Row],[AbsenceDays]]&gt;=4,RawData[[#This Row],[LateDays]]&gt;=3),"At Risk","OK")</f>
        <v>OK</v>
      </c>
      <c r="R56" t="str">
        <f>IF(RawData[[#This Row],[OvertimeHours]]&gt;10,"High","Normal")</f>
        <v>Normal</v>
      </c>
    </row>
    <row r="57" spans="1:18" x14ac:dyDescent="0.2">
      <c r="A57">
        <v>2055</v>
      </c>
      <c r="B57" t="s">
        <v>12</v>
      </c>
      <c r="C57" t="s">
        <v>13</v>
      </c>
      <c r="D57" t="s">
        <v>34</v>
      </c>
      <c r="E57" t="s">
        <v>35</v>
      </c>
      <c r="F57" t="s">
        <v>33</v>
      </c>
      <c r="G57" t="s">
        <v>28</v>
      </c>
      <c r="H57">
        <v>54</v>
      </c>
      <c r="I57">
        <v>14</v>
      </c>
      <c r="J57">
        <v>5</v>
      </c>
      <c r="K57">
        <v>2</v>
      </c>
      <c r="L57" s="1">
        <v>45951</v>
      </c>
      <c r="M57" t="str">
        <f>PROPER(TRIM(RawData[[#This Row],[ShiftType]]))</f>
        <v>Weekend</v>
      </c>
      <c r="N57">
        <f>VALUE(TRIM(RawData[[#This Row],[HoursWorked]]))</f>
        <v>54</v>
      </c>
      <c r="O57" s="1">
        <f>IF(ISNUMBER(RawData[[#This Row],[StartDate]]),RawData[[#This Row],[StartDate]],DATEVALUE(RawData[[#This Row],[StartDate]]))</f>
        <v>45951</v>
      </c>
      <c r="P57" t="str">
        <f>IF(RawData[[#This Row],[HoursWorked_Clean]]&gt;=40,"Full-time","Part-time")</f>
        <v>Full-time</v>
      </c>
      <c r="Q57" t="str">
        <f>IF(OR(RawData[[#This Row],[AbsenceDays]]&gt;=4,RawData[[#This Row],[LateDays]]&gt;=3),"At Risk","OK")</f>
        <v>At Risk</v>
      </c>
      <c r="R57" t="str">
        <f>IF(RawData[[#This Row],[OvertimeHours]]&gt;10,"High","Normal")</f>
        <v>High</v>
      </c>
    </row>
    <row r="58" spans="1:18" x14ac:dyDescent="0.2">
      <c r="A58">
        <v>2056</v>
      </c>
      <c r="B58" t="s">
        <v>21</v>
      </c>
      <c r="C58" t="s">
        <v>22</v>
      </c>
      <c r="D58" t="s">
        <v>14</v>
      </c>
      <c r="E58" t="s">
        <v>32</v>
      </c>
      <c r="F58" t="s">
        <v>33</v>
      </c>
      <c r="G58" t="s">
        <v>28</v>
      </c>
      <c r="H58">
        <v>46</v>
      </c>
      <c r="I58">
        <v>6</v>
      </c>
      <c r="J58">
        <v>4</v>
      </c>
      <c r="K58">
        <v>1</v>
      </c>
      <c r="L58" s="1">
        <v>45964</v>
      </c>
      <c r="M58" t="str">
        <f>PROPER(TRIM(RawData[[#This Row],[ShiftType]]))</f>
        <v>Weekend</v>
      </c>
      <c r="N58">
        <f>VALUE(TRIM(RawData[[#This Row],[HoursWorked]]))</f>
        <v>46</v>
      </c>
      <c r="O58" s="1">
        <f>IF(ISNUMBER(RawData[[#This Row],[StartDate]]),RawData[[#This Row],[StartDate]],DATEVALUE(RawData[[#This Row],[StartDate]]))</f>
        <v>45964</v>
      </c>
      <c r="P58" t="str">
        <f>IF(RawData[[#This Row],[HoursWorked_Clean]]&gt;=40,"Full-time","Part-time")</f>
        <v>Full-time</v>
      </c>
      <c r="Q58" t="str">
        <f>IF(OR(RawData[[#This Row],[AbsenceDays]]&gt;=4,RawData[[#This Row],[LateDays]]&gt;=3),"At Risk","OK")</f>
        <v>At Risk</v>
      </c>
      <c r="R58" t="str">
        <f>IF(RawData[[#This Row],[OvertimeHours]]&gt;10,"High","Normal")</f>
        <v>Normal</v>
      </c>
    </row>
    <row r="59" spans="1:18" x14ac:dyDescent="0.2">
      <c r="A59">
        <v>2057</v>
      </c>
      <c r="B59" t="s">
        <v>31</v>
      </c>
      <c r="C59" t="s">
        <v>22</v>
      </c>
      <c r="D59" t="s">
        <v>27</v>
      </c>
      <c r="E59" t="s">
        <v>35</v>
      </c>
      <c r="F59" t="s">
        <v>33</v>
      </c>
      <c r="G59" t="s">
        <v>17</v>
      </c>
      <c r="H59">
        <v>41</v>
      </c>
      <c r="I59">
        <v>1</v>
      </c>
      <c r="J59">
        <v>5</v>
      </c>
      <c r="K59">
        <v>2</v>
      </c>
      <c r="L59" s="1">
        <v>45928</v>
      </c>
      <c r="M59" t="str">
        <f>PROPER(TRIM(RawData[[#This Row],[ShiftType]]))</f>
        <v>Weekend</v>
      </c>
      <c r="N59">
        <f>VALUE(TRIM(RawData[[#This Row],[HoursWorked]]))</f>
        <v>41</v>
      </c>
      <c r="O59" s="1">
        <f>IF(ISNUMBER(RawData[[#This Row],[StartDate]]),RawData[[#This Row],[StartDate]],DATEVALUE(RawData[[#This Row],[StartDate]]))</f>
        <v>45928</v>
      </c>
      <c r="P59" t="str">
        <f>IF(RawData[[#This Row],[HoursWorked_Clean]]&gt;=40,"Full-time","Part-time")</f>
        <v>Full-time</v>
      </c>
      <c r="Q59" t="str">
        <f>IF(OR(RawData[[#This Row],[AbsenceDays]]&gt;=4,RawData[[#This Row],[LateDays]]&gt;=3),"At Risk","OK")</f>
        <v>At Risk</v>
      </c>
      <c r="R59" t="str">
        <f>IF(RawData[[#This Row],[OvertimeHours]]&gt;10,"High","Normal")</f>
        <v>Normal</v>
      </c>
    </row>
    <row r="60" spans="1:18" x14ac:dyDescent="0.2">
      <c r="A60">
        <v>2058</v>
      </c>
      <c r="B60" t="s">
        <v>18</v>
      </c>
      <c r="C60" t="s">
        <v>19</v>
      </c>
      <c r="D60" t="s">
        <v>14</v>
      </c>
      <c r="E60" t="s">
        <v>35</v>
      </c>
      <c r="F60" t="s">
        <v>16</v>
      </c>
      <c r="G60" t="s">
        <v>17</v>
      </c>
      <c r="H60">
        <v>49</v>
      </c>
      <c r="I60">
        <v>9</v>
      </c>
      <c r="J60">
        <v>5</v>
      </c>
      <c r="K60">
        <v>0</v>
      </c>
      <c r="L60" s="1">
        <v>45916</v>
      </c>
      <c r="M60" t="str">
        <f>PROPER(TRIM(RawData[[#This Row],[ShiftType]]))</f>
        <v>Night</v>
      </c>
      <c r="N60">
        <f>VALUE(TRIM(RawData[[#This Row],[HoursWorked]]))</f>
        <v>49</v>
      </c>
      <c r="O60" s="1">
        <f>IF(ISNUMBER(RawData[[#This Row],[StartDate]]),RawData[[#This Row],[StartDate]],DATEVALUE(RawData[[#This Row],[StartDate]]))</f>
        <v>45916</v>
      </c>
      <c r="P60" t="str">
        <f>IF(RawData[[#This Row],[HoursWorked_Clean]]&gt;=40,"Full-time","Part-time")</f>
        <v>Full-time</v>
      </c>
      <c r="Q60" t="str">
        <f>IF(OR(RawData[[#This Row],[AbsenceDays]]&gt;=4,RawData[[#This Row],[LateDays]]&gt;=3),"At Risk","OK")</f>
        <v>At Risk</v>
      </c>
      <c r="R60" t="str">
        <f>IF(RawData[[#This Row],[OvertimeHours]]&gt;10,"High","Normal")</f>
        <v>Normal</v>
      </c>
    </row>
    <row r="61" spans="1:18" x14ac:dyDescent="0.2">
      <c r="A61">
        <v>2059</v>
      </c>
      <c r="B61" t="s">
        <v>21</v>
      </c>
      <c r="C61" t="s">
        <v>22</v>
      </c>
      <c r="D61" t="s">
        <v>27</v>
      </c>
      <c r="E61" t="s">
        <v>32</v>
      </c>
      <c r="F61" t="s">
        <v>16</v>
      </c>
      <c r="G61" t="s">
        <v>28</v>
      </c>
      <c r="H61">
        <v>53</v>
      </c>
      <c r="I61">
        <v>13</v>
      </c>
      <c r="J61">
        <v>6</v>
      </c>
      <c r="K61">
        <v>4</v>
      </c>
      <c r="L61" s="1">
        <v>45910</v>
      </c>
      <c r="M61" t="str">
        <f>PROPER(TRIM(RawData[[#This Row],[ShiftType]]))</f>
        <v>Night</v>
      </c>
      <c r="N61">
        <f>VALUE(TRIM(RawData[[#This Row],[HoursWorked]]))</f>
        <v>53</v>
      </c>
      <c r="O61" s="1">
        <f>IF(ISNUMBER(RawData[[#This Row],[StartDate]]),RawData[[#This Row],[StartDate]],DATEVALUE(RawData[[#This Row],[StartDate]]))</f>
        <v>45910</v>
      </c>
      <c r="P61" t="str">
        <f>IF(RawData[[#This Row],[HoursWorked_Clean]]&gt;=40,"Full-time","Part-time")</f>
        <v>Full-time</v>
      </c>
      <c r="Q61" t="str">
        <f>IF(OR(RawData[[#This Row],[AbsenceDays]]&gt;=4,RawData[[#This Row],[LateDays]]&gt;=3),"At Risk","OK")</f>
        <v>At Risk</v>
      </c>
      <c r="R61" t="str">
        <f>IF(RawData[[#This Row],[OvertimeHours]]&gt;10,"High","Normal")</f>
        <v>High</v>
      </c>
    </row>
    <row r="62" spans="1:18" x14ac:dyDescent="0.2">
      <c r="A62">
        <v>2060</v>
      </c>
      <c r="B62" t="s">
        <v>12</v>
      </c>
      <c r="C62" t="s">
        <v>13</v>
      </c>
      <c r="D62" t="s">
        <v>27</v>
      </c>
      <c r="E62" t="s">
        <v>32</v>
      </c>
      <c r="F62" t="s">
        <v>24</v>
      </c>
      <c r="G62" t="s">
        <v>28</v>
      </c>
      <c r="H62">
        <v>48</v>
      </c>
      <c r="I62">
        <v>8</v>
      </c>
      <c r="J62">
        <v>0</v>
      </c>
      <c r="K62">
        <v>4</v>
      </c>
      <c r="L62" s="1">
        <v>45969</v>
      </c>
      <c r="M62" t="str">
        <f>PROPER(TRIM(RawData[[#This Row],[ShiftType]]))</f>
        <v>Day</v>
      </c>
      <c r="N62">
        <f>VALUE(TRIM(RawData[[#This Row],[HoursWorked]]))</f>
        <v>48</v>
      </c>
      <c r="O62" s="1">
        <f>IF(ISNUMBER(RawData[[#This Row],[StartDate]]),RawData[[#This Row],[StartDate]],DATEVALUE(RawData[[#This Row],[StartDate]]))</f>
        <v>45969</v>
      </c>
      <c r="P62" t="str">
        <f>IF(RawData[[#This Row],[HoursWorked_Clean]]&gt;=40,"Full-time","Part-time")</f>
        <v>Full-time</v>
      </c>
      <c r="Q62" t="str">
        <f>IF(OR(RawData[[#This Row],[AbsenceDays]]&gt;=4,RawData[[#This Row],[LateDays]]&gt;=3),"At Risk","OK")</f>
        <v>At Risk</v>
      </c>
      <c r="R62" t="str">
        <f>IF(RawData[[#This Row],[OvertimeHours]]&gt;10,"High","Normal")</f>
        <v>Normal</v>
      </c>
    </row>
    <row r="63" spans="1:18" x14ac:dyDescent="0.2">
      <c r="A63">
        <v>2061</v>
      </c>
      <c r="B63" t="s">
        <v>25</v>
      </c>
      <c r="C63" t="s">
        <v>26</v>
      </c>
      <c r="D63" t="s">
        <v>20</v>
      </c>
      <c r="E63" t="s">
        <v>35</v>
      </c>
      <c r="F63" t="s">
        <v>16</v>
      </c>
      <c r="G63" t="s">
        <v>28</v>
      </c>
      <c r="H63">
        <v>44</v>
      </c>
      <c r="I63">
        <v>4</v>
      </c>
      <c r="J63">
        <v>5</v>
      </c>
      <c r="K63">
        <v>4</v>
      </c>
      <c r="L63" s="1">
        <v>45907</v>
      </c>
      <c r="M63" t="str">
        <f>PROPER(TRIM(RawData[[#This Row],[ShiftType]]))</f>
        <v>Night</v>
      </c>
      <c r="N63">
        <f>VALUE(TRIM(RawData[[#This Row],[HoursWorked]]))</f>
        <v>44</v>
      </c>
      <c r="O63" s="1">
        <f>IF(ISNUMBER(RawData[[#This Row],[StartDate]]),RawData[[#This Row],[StartDate]],DATEVALUE(RawData[[#This Row],[StartDate]]))</f>
        <v>45907</v>
      </c>
      <c r="P63" t="str">
        <f>IF(RawData[[#This Row],[HoursWorked_Clean]]&gt;=40,"Full-time","Part-time")</f>
        <v>Full-time</v>
      </c>
      <c r="Q63" t="str">
        <f>IF(OR(RawData[[#This Row],[AbsenceDays]]&gt;=4,RawData[[#This Row],[LateDays]]&gt;=3),"At Risk","OK")</f>
        <v>At Risk</v>
      </c>
      <c r="R63" t="str">
        <f>IF(RawData[[#This Row],[OvertimeHours]]&gt;10,"High","Normal")</f>
        <v>Normal</v>
      </c>
    </row>
    <row r="64" spans="1:18" x14ac:dyDescent="0.2">
      <c r="A64">
        <v>2062</v>
      </c>
      <c r="B64" t="s">
        <v>12</v>
      </c>
      <c r="C64" t="s">
        <v>13</v>
      </c>
      <c r="D64" t="s">
        <v>34</v>
      </c>
      <c r="E64" t="s">
        <v>23</v>
      </c>
      <c r="F64" t="s">
        <v>16</v>
      </c>
      <c r="G64" t="s">
        <v>28</v>
      </c>
      <c r="H64">
        <v>40</v>
      </c>
      <c r="I64">
        <v>0</v>
      </c>
      <c r="J64">
        <v>1</v>
      </c>
      <c r="K64">
        <v>4</v>
      </c>
      <c r="L64" s="1">
        <v>45939</v>
      </c>
      <c r="M64" t="str">
        <f>PROPER(TRIM(RawData[[#This Row],[ShiftType]]))</f>
        <v>Night</v>
      </c>
      <c r="N64">
        <f>VALUE(TRIM(RawData[[#This Row],[HoursWorked]]))</f>
        <v>40</v>
      </c>
      <c r="O64" s="1">
        <f>IF(ISNUMBER(RawData[[#This Row],[StartDate]]),RawData[[#This Row],[StartDate]],DATEVALUE(RawData[[#This Row],[StartDate]]))</f>
        <v>45939</v>
      </c>
      <c r="P64" t="str">
        <f>IF(RawData[[#This Row],[HoursWorked_Clean]]&gt;=40,"Full-time","Part-time")</f>
        <v>Full-time</v>
      </c>
      <c r="Q64" t="str">
        <f>IF(OR(RawData[[#This Row],[AbsenceDays]]&gt;=4,RawData[[#This Row],[LateDays]]&gt;=3),"At Risk","OK")</f>
        <v>At Risk</v>
      </c>
      <c r="R64" t="str">
        <f>IF(RawData[[#This Row],[OvertimeHours]]&gt;10,"High","Normal")</f>
        <v>Normal</v>
      </c>
    </row>
    <row r="65" spans="1:18" x14ac:dyDescent="0.2">
      <c r="A65">
        <v>2063</v>
      </c>
      <c r="B65" t="s">
        <v>12</v>
      </c>
      <c r="C65" t="s">
        <v>13</v>
      </c>
      <c r="D65" t="s">
        <v>20</v>
      </c>
      <c r="E65" t="s">
        <v>15</v>
      </c>
      <c r="F65" t="s">
        <v>24</v>
      </c>
      <c r="G65" t="s">
        <v>17</v>
      </c>
      <c r="H65">
        <v>50</v>
      </c>
      <c r="I65">
        <v>10</v>
      </c>
      <c r="J65">
        <v>1</v>
      </c>
      <c r="K65">
        <v>0</v>
      </c>
      <c r="L65" s="1">
        <v>45917</v>
      </c>
      <c r="M65" t="str">
        <f>PROPER(TRIM(RawData[[#This Row],[ShiftType]]))</f>
        <v>Day</v>
      </c>
      <c r="N65">
        <f>VALUE(TRIM(RawData[[#This Row],[HoursWorked]]))</f>
        <v>50</v>
      </c>
      <c r="O65" s="1">
        <f>IF(ISNUMBER(RawData[[#This Row],[StartDate]]),RawData[[#This Row],[StartDate]],DATEVALUE(RawData[[#This Row],[StartDate]]))</f>
        <v>45917</v>
      </c>
      <c r="P65" t="str">
        <f>IF(RawData[[#This Row],[HoursWorked_Clean]]&gt;=40,"Full-time","Part-time")</f>
        <v>Full-time</v>
      </c>
      <c r="Q65" t="str">
        <f>IF(OR(RawData[[#This Row],[AbsenceDays]]&gt;=4,RawData[[#This Row],[LateDays]]&gt;=3),"At Risk","OK")</f>
        <v>OK</v>
      </c>
      <c r="R65" t="str">
        <f>IF(RawData[[#This Row],[OvertimeHours]]&gt;10,"High","Normal")</f>
        <v>Normal</v>
      </c>
    </row>
    <row r="66" spans="1:18" x14ac:dyDescent="0.2">
      <c r="A66">
        <v>2064</v>
      </c>
      <c r="B66" t="s">
        <v>31</v>
      </c>
      <c r="C66" t="s">
        <v>22</v>
      </c>
      <c r="D66" t="s">
        <v>34</v>
      </c>
      <c r="E66" t="s">
        <v>32</v>
      </c>
      <c r="F66" t="s">
        <v>29</v>
      </c>
      <c r="G66" t="s">
        <v>17</v>
      </c>
      <c r="H66">
        <v>41</v>
      </c>
      <c r="I66">
        <v>1</v>
      </c>
      <c r="J66">
        <v>2</v>
      </c>
      <c r="K66">
        <v>1</v>
      </c>
      <c r="L66" s="1">
        <v>45940</v>
      </c>
      <c r="M66" t="str">
        <f>PROPER(TRIM(RawData[[#This Row],[ShiftType]]))</f>
        <v>Night</v>
      </c>
      <c r="N66">
        <f>VALUE(TRIM(RawData[[#This Row],[HoursWorked]]))</f>
        <v>41</v>
      </c>
      <c r="O66" s="1">
        <f>IF(ISNUMBER(RawData[[#This Row],[StartDate]]),RawData[[#This Row],[StartDate]],DATEVALUE(RawData[[#This Row],[StartDate]]))</f>
        <v>45940</v>
      </c>
      <c r="P66" t="str">
        <f>IF(RawData[[#This Row],[HoursWorked_Clean]]&gt;=40,"Full-time","Part-time")</f>
        <v>Full-time</v>
      </c>
      <c r="Q66" t="str">
        <f>IF(OR(RawData[[#This Row],[AbsenceDays]]&gt;=4,RawData[[#This Row],[LateDays]]&gt;=3),"At Risk","OK")</f>
        <v>OK</v>
      </c>
      <c r="R66" t="str">
        <f>IF(RawData[[#This Row],[OvertimeHours]]&gt;10,"High","Normal")</f>
        <v>Normal</v>
      </c>
    </row>
    <row r="67" spans="1:18" x14ac:dyDescent="0.2">
      <c r="A67">
        <v>2065</v>
      </c>
      <c r="B67" t="s">
        <v>12</v>
      </c>
      <c r="C67" t="s">
        <v>13</v>
      </c>
      <c r="D67" t="s">
        <v>20</v>
      </c>
      <c r="E67" t="s">
        <v>23</v>
      </c>
      <c r="F67" t="s">
        <v>33</v>
      </c>
      <c r="G67" t="s">
        <v>28</v>
      </c>
      <c r="H67">
        <v>47</v>
      </c>
      <c r="I67">
        <v>7</v>
      </c>
      <c r="J67">
        <v>1</v>
      </c>
      <c r="K67">
        <v>3</v>
      </c>
      <c r="L67" s="1">
        <v>45979</v>
      </c>
      <c r="M67" t="str">
        <f>PROPER(TRIM(RawData[[#This Row],[ShiftType]]))</f>
        <v>Weekend</v>
      </c>
      <c r="N67">
        <f>VALUE(TRIM(RawData[[#This Row],[HoursWorked]]))</f>
        <v>47</v>
      </c>
      <c r="O67" s="1">
        <f>IF(ISNUMBER(RawData[[#This Row],[StartDate]]),RawData[[#This Row],[StartDate]],DATEVALUE(RawData[[#This Row],[StartDate]]))</f>
        <v>45979</v>
      </c>
      <c r="P67" t="str">
        <f>IF(RawData[[#This Row],[HoursWorked_Clean]]&gt;=40,"Full-time","Part-time")</f>
        <v>Full-time</v>
      </c>
      <c r="Q67" t="str">
        <f>IF(OR(RawData[[#This Row],[AbsenceDays]]&gt;=4,RawData[[#This Row],[LateDays]]&gt;=3),"At Risk","OK")</f>
        <v>At Risk</v>
      </c>
      <c r="R67" t="str">
        <f>IF(RawData[[#This Row],[OvertimeHours]]&gt;10,"High","Normal")</f>
        <v>Normal</v>
      </c>
    </row>
    <row r="68" spans="1:18" x14ac:dyDescent="0.2">
      <c r="A68">
        <v>2066</v>
      </c>
      <c r="B68" t="s">
        <v>21</v>
      </c>
      <c r="C68" t="s">
        <v>22</v>
      </c>
      <c r="D68" t="s">
        <v>14</v>
      </c>
      <c r="E68" t="s">
        <v>30</v>
      </c>
      <c r="F68" t="s">
        <v>16</v>
      </c>
      <c r="G68" t="s">
        <v>17</v>
      </c>
      <c r="H68">
        <v>40</v>
      </c>
      <c r="I68">
        <v>0</v>
      </c>
      <c r="J68">
        <v>5</v>
      </c>
      <c r="K68">
        <v>0</v>
      </c>
      <c r="L68" s="1">
        <v>45961</v>
      </c>
      <c r="M68" t="str">
        <f>PROPER(TRIM(RawData[[#This Row],[ShiftType]]))</f>
        <v>Night</v>
      </c>
      <c r="N68">
        <f>VALUE(TRIM(RawData[[#This Row],[HoursWorked]]))</f>
        <v>40</v>
      </c>
      <c r="O68" s="1">
        <f>IF(ISNUMBER(RawData[[#This Row],[StartDate]]),RawData[[#This Row],[StartDate]],DATEVALUE(RawData[[#This Row],[StartDate]]))</f>
        <v>45961</v>
      </c>
      <c r="P68" t="str">
        <f>IF(RawData[[#This Row],[HoursWorked_Clean]]&gt;=40,"Full-time","Part-time")</f>
        <v>Full-time</v>
      </c>
      <c r="Q68" t="str">
        <f>IF(OR(RawData[[#This Row],[AbsenceDays]]&gt;=4,RawData[[#This Row],[LateDays]]&gt;=3),"At Risk","OK")</f>
        <v>At Risk</v>
      </c>
      <c r="R68" t="str">
        <f>IF(RawData[[#This Row],[OvertimeHours]]&gt;10,"High","Normal")</f>
        <v>Normal</v>
      </c>
    </row>
    <row r="69" spans="1:18" x14ac:dyDescent="0.2">
      <c r="A69">
        <v>2067</v>
      </c>
      <c r="B69" t="s">
        <v>21</v>
      </c>
      <c r="C69" t="s">
        <v>22</v>
      </c>
      <c r="D69" t="s">
        <v>34</v>
      </c>
      <c r="E69" t="s">
        <v>32</v>
      </c>
      <c r="F69" t="s">
        <v>33</v>
      </c>
      <c r="G69" t="s">
        <v>28</v>
      </c>
      <c r="H69">
        <v>56</v>
      </c>
      <c r="I69">
        <v>16</v>
      </c>
      <c r="J69">
        <v>5</v>
      </c>
      <c r="K69">
        <v>0</v>
      </c>
      <c r="L69" s="1">
        <v>45904</v>
      </c>
      <c r="M69" t="str">
        <f>PROPER(TRIM(RawData[[#This Row],[ShiftType]]))</f>
        <v>Weekend</v>
      </c>
      <c r="N69">
        <f>VALUE(TRIM(RawData[[#This Row],[HoursWorked]]))</f>
        <v>56</v>
      </c>
      <c r="O69" s="1">
        <f>IF(ISNUMBER(RawData[[#This Row],[StartDate]]),RawData[[#This Row],[StartDate]],DATEVALUE(RawData[[#This Row],[StartDate]]))</f>
        <v>45904</v>
      </c>
      <c r="P69" t="str">
        <f>IF(RawData[[#This Row],[HoursWorked_Clean]]&gt;=40,"Full-time","Part-time")</f>
        <v>Full-time</v>
      </c>
      <c r="Q69" t="str">
        <f>IF(OR(RawData[[#This Row],[AbsenceDays]]&gt;=4,RawData[[#This Row],[LateDays]]&gt;=3),"At Risk","OK")</f>
        <v>At Risk</v>
      </c>
      <c r="R69" t="str">
        <f>IF(RawData[[#This Row],[OvertimeHours]]&gt;10,"High","Normal")</f>
        <v>High</v>
      </c>
    </row>
    <row r="70" spans="1:18" x14ac:dyDescent="0.2">
      <c r="A70">
        <v>2068</v>
      </c>
      <c r="B70" t="s">
        <v>18</v>
      </c>
      <c r="C70" t="s">
        <v>19</v>
      </c>
      <c r="D70" t="s">
        <v>27</v>
      </c>
      <c r="E70" t="s">
        <v>32</v>
      </c>
      <c r="F70" t="s">
        <v>16</v>
      </c>
      <c r="G70" t="s">
        <v>28</v>
      </c>
      <c r="H70">
        <v>42</v>
      </c>
      <c r="I70">
        <v>2</v>
      </c>
      <c r="J70">
        <v>1</v>
      </c>
      <c r="K70">
        <v>2</v>
      </c>
      <c r="L70" s="1">
        <v>45952</v>
      </c>
      <c r="M70" t="str">
        <f>PROPER(TRIM(RawData[[#This Row],[ShiftType]]))</f>
        <v>Night</v>
      </c>
      <c r="N70">
        <f>VALUE(TRIM(RawData[[#This Row],[HoursWorked]]))</f>
        <v>42</v>
      </c>
      <c r="O70" s="1">
        <f>IF(ISNUMBER(RawData[[#This Row],[StartDate]]),RawData[[#This Row],[StartDate]],DATEVALUE(RawData[[#This Row],[StartDate]]))</f>
        <v>45952</v>
      </c>
      <c r="P70" t="str">
        <f>IF(RawData[[#This Row],[HoursWorked_Clean]]&gt;=40,"Full-time","Part-time")</f>
        <v>Full-time</v>
      </c>
      <c r="Q70" t="str">
        <f>IF(OR(RawData[[#This Row],[AbsenceDays]]&gt;=4,RawData[[#This Row],[LateDays]]&gt;=3),"At Risk","OK")</f>
        <v>OK</v>
      </c>
      <c r="R70" t="str">
        <f>IF(RawData[[#This Row],[OvertimeHours]]&gt;10,"High","Normal")</f>
        <v>Normal</v>
      </c>
    </row>
    <row r="71" spans="1:18" x14ac:dyDescent="0.2">
      <c r="A71">
        <v>2069</v>
      </c>
      <c r="B71" t="s">
        <v>21</v>
      </c>
      <c r="C71" t="s">
        <v>22</v>
      </c>
      <c r="D71" t="s">
        <v>27</v>
      </c>
      <c r="E71" t="s">
        <v>30</v>
      </c>
      <c r="F71" t="s">
        <v>16</v>
      </c>
      <c r="G71" t="s">
        <v>17</v>
      </c>
      <c r="H71">
        <v>50</v>
      </c>
      <c r="I71">
        <v>10</v>
      </c>
      <c r="J71">
        <v>5</v>
      </c>
      <c r="K71">
        <v>4</v>
      </c>
      <c r="L71" s="1">
        <v>45971</v>
      </c>
      <c r="M71" t="str">
        <f>PROPER(TRIM(RawData[[#This Row],[ShiftType]]))</f>
        <v>Night</v>
      </c>
      <c r="N71">
        <f>VALUE(TRIM(RawData[[#This Row],[HoursWorked]]))</f>
        <v>50</v>
      </c>
      <c r="O71" s="1">
        <f>IF(ISNUMBER(RawData[[#This Row],[StartDate]]),RawData[[#This Row],[StartDate]],DATEVALUE(RawData[[#This Row],[StartDate]]))</f>
        <v>45971</v>
      </c>
      <c r="P71" t="str">
        <f>IF(RawData[[#This Row],[HoursWorked_Clean]]&gt;=40,"Full-time","Part-time")</f>
        <v>Full-time</v>
      </c>
      <c r="Q71" t="str">
        <f>IF(OR(RawData[[#This Row],[AbsenceDays]]&gt;=4,RawData[[#This Row],[LateDays]]&gt;=3),"At Risk","OK")</f>
        <v>At Risk</v>
      </c>
      <c r="R71" t="str">
        <f>IF(RawData[[#This Row],[OvertimeHours]]&gt;10,"High","Normal")</f>
        <v>Normal</v>
      </c>
    </row>
    <row r="72" spans="1:18" x14ac:dyDescent="0.2">
      <c r="A72">
        <v>2070</v>
      </c>
      <c r="B72" t="s">
        <v>18</v>
      </c>
      <c r="C72" t="s">
        <v>19</v>
      </c>
      <c r="D72" t="s">
        <v>20</v>
      </c>
      <c r="E72" t="s">
        <v>15</v>
      </c>
      <c r="F72" t="s">
        <v>16</v>
      </c>
      <c r="G72" t="s">
        <v>17</v>
      </c>
      <c r="H72">
        <v>59</v>
      </c>
      <c r="I72">
        <v>19</v>
      </c>
      <c r="J72">
        <v>0</v>
      </c>
      <c r="K72">
        <v>0</v>
      </c>
      <c r="L72" s="1">
        <v>45975</v>
      </c>
      <c r="M72" t="str">
        <f>PROPER(TRIM(RawData[[#This Row],[ShiftType]]))</f>
        <v>Night</v>
      </c>
      <c r="N72">
        <f>VALUE(TRIM(RawData[[#This Row],[HoursWorked]]))</f>
        <v>59</v>
      </c>
      <c r="O72" s="1">
        <f>IF(ISNUMBER(RawData[[#This Row],[StartDate]]),RawData[[#This Row],[StartDate]],DATEVALUE(RawData[[#This Row],[StartDate]]))</f>
        <v>45975</v>
      </c>
      <c r="P72" t="str">
        <f>IF(RawData[[#This Row],[HoursWorked_Clean]]&gt;=40,"Full-time","Part-time")</f>
        <v>Full-time</v>
      </c>
      <c r="Q72" t="str">
        <f>IF(OR(RawData[[#This Row],[AbsenceDays]]&gt;=4,RawData[[#This Row],[LateDays]]&gt;=3),"At Risk","OK")</f>
        <v>OK</v>
      </c>
      <c r="R72" t="str">
        <f>IF(RawData[[#This Row],[OvertimeHours]]&gt;10,"High","Normal")</f>
        <v>High</v>
      </c>
    </row>
    <row r="73" spans="1:18" x14ac:dyDescent="0.2">
      <c r="A73">
        <v>2071</v>
      </c>
      <c r="B73" t="s">
        <v>18</v>
      </c>
      <c r="C73" t="s">
        <v>19</v>
      </c>
      <c r="D73" t="s">
        <v>34</v>
      </c>
      <c r="E73" t="s">
        <v>35</v>
      </c>
      <c r="F73" t="s">
        <v>33</v>
      </c>
      <c r="G73" t="s">
        <v>28</v>
      </c>
      <c r="H73">
        <v>34</v>
      </c>
      <c r="I73">
        <v>0</v>
      </c>
      <c r="J73">
        <v>6</v>
      </c>
      <c r="K73">
        <v>3</v>
      </c>
      <c r="L73" s="1">
        <v>45986</v>
      </c>
      <c r="M73" t="str">
        <f>PROPER(TRIM(RawData[[#This Row],[ShiftType]]))</f>
        <v>Weekend</v>
      </c>
      <c r="N73">
        <f>VALUE(TRIM(RawData[[#This Row],[HoursWorked]]))</f>
        <v>34</v>
      </c>
      <c r="O73" s="1">
        <f>IF(ISNUMBER(RawData[[#This Row],[StartDate]]),RawData[[#This Row],[StartDate]],DATEVALUE(RawData[[#This Row],[StartDate]]))</f>
        <v>45986</v>
      </c>
      <c r="P73" t="str">
        <f>IF(RawData[[#This Row],[HoursWorked_Clean]]&gt;=40,"Full-time","Part-time")</f>
        <v>Part-time</v>
      </c>
      <c r="Q73" t="str">
        <f>IF(OR(RawData[[#This Row],[AbsenceDays]]&gt;=4,RawData[[#This Row],[LateDays]]&gt;=3),"At Risk","OK")</f>
        <v>At Risk</v>
      </c>
      <c r="R73" t="str">
        <f>IF(RawData[[#This Row],[OvertimeHours]]&gt;10,"High","Normal")</f>
        <v>Normal</v>
      </c>
    </row>
    <row r="74" spans="1:18" x14ac:dyDescent="0.2">
      <c r="A74">
        <v>2072</v>
      </c>
      <c r="B74" t="s">
        <v>18</v>
      </c>
      <c r="C74" t="s">
        <v>19</v>
      </c>
      <c r="D74" t="s">
        <v>20</v>
      </c>
      <c r="E74" t="s">
        <v>32</v>
      </c>
      <c r="F74" t="s">
        <v>16</v>
      </c>
      <c r="G74" t="s">
        <v>17</v>
      </c>
      <c r="H74">
        <v>39</v>
      </c>
      <c r="I74">
        <v>0</v>
      </c>
      <c r="J74">
        <v>3</v>
      </c>
      <c r="K74">
        <v>0</v>
      </c>
      <c r="L74" s="1">
        <v>45936</v>
      </c>
      <c r="M74" t="str">
        <f>PROPER(TRIM(RawData[[#This Row],[ShiftType]]))</f>
        <v>Night</v>
      </c>
      <c r="N74">
        <f>VALUE(TRIM(RawData[[#This Row],[HoursWorked]]))</f>
        <v>39</v>
      </c>
      <c r="O74" s="1">
        <f>IF(ISNUMBER(RawData[[#This Row],[StartDate]]),RawData[[#This Row],[StartDate]],DATEVALUE(RawData[[#This Row],[StartDate]]))</f>
        <v>45936</v>
      </c>
      <c r="P74" t="str">
        <f>IF(RawData[[#This Row],[HoursWorked_Clean]]&gt;=40,"Full-time","Part-time")</f>
        <v>Part-time</v>
      </c>
      <c r="Q74" t="str">
        <f>IF(OR(RawData[[#This Row],[AbsenceDays]]&gt;=4,RawData[[#This Row],[LateDays]]&gt;=3),"At Risk","OK")</f>
        <v>OK</v>
      </c>
      <c r="R74" t="str">
        <f>IF(RawData[[#This Row],[OvertimeHours]]&gt;10,"High","Normal")</f>
        <v>Normal</v>
      </c>
    </row>
    <row r="75" spans="1:18" x14ac:dyDescent="0.2">
      <c r="A75">
        <v>2073</v>
      </c>
      <c r="B75" t="s">
        <v>18</v>
      </c>
      <c r="C75" t="s">
        <v>19</v>
      </c>
      <c r="D75" t="s">
        <v>14</v>
      </c>
      <c r="E75" t="s">
        <v>15</v>
      </c>
      <c r="F75" t="s">
        <v>33</v>
      </c>
      <c r="G75" t="s">
        <v>28</v>
      </c>
      <c r="H75">
        <v>46</v>
      </c>
      <c r="I75">
        <v>6</v>
      </c>
      <c r="J75">
        <v>3</v>
      </c>
      <c r="K75">
        <v>1</v>
      </c>
      <c r="L75" s="1">
        <v>45955</v>
      </c>
      <c r="M75" t="str">
        <f>PROPER(TRIM(RawData[[#This Row],[ShiftType]]))</f>
        <v>Weekend</v>
      </c>
      <c r="N75">
        <f>VALUE(TRIM(RawData[[#This Row],[HoursWorked]]))</f>
        <v>46</v>
      </c>
      <c r="O75" s="1">
        <f>IF(ISNUMBER(RawData[[#This Row],[StartDate]]),RawData[[#This Row],[StartDate]],DATEVALUE(RawData[[#This Row],[StartDate]]))</f>
        <v>45955</v>
      </c>
      <c r="P75" t="str">
        <f>IF(RawData[[#This Row],[HoursWorked_Clean]]&gt;=40,"Full-time","Part-time")</f>
        <v>Full-time</v>
      </c>
      <c r="Q75" t="str">
        <f>IF(OR(RawData[[#This Row],[AbsenceDays]]&gt;=4,RawData[[#This Row],[LateDays]]&gt;=3),"At Risk","OK")</f>
        <v>OK</v>
      </c>
      <c r="R75" t="str">
        <f>IF(RawData[[#This Row],[OvertimeHours]]&gt;10,"High","Normal")</f>
        <v>Normal</v>
      </c>
    </row>
    <row r="76" spans="1:18" x14ac:dyDescent="0.2">
      <c r="A76">
        <v>2074</v>
      </c>
      <c r="B76" t="s">
        <v>25</v>
      </c>
      <c r="C76" t="s">
        <v>26</v>
      </c>
      <c r="D76" t="s">
        <v>27</v>
      </c>
      <c r="E76" t="s">
        <v>35</v>
      </c>
      <c r="F76" t="s">
        <v>33</v>
      </c>
      <c r="G76" t="s">
        <v>17</v>
      </c>
      <c r="H76">
        <v>48</v>
      </c>
      <c r="I76">
        <v>8</v>
      </c>
      <c r="J76">
        <v>3</v>
      </c>
      <c r="K76">
        <v>1</v>
      </c>
      <c r="L76" s="1">
        <v>45982</v>
      </c>
      <c r="M76" t="str">
        <f>PROPER(TRIM(RawData[[#This Row],[ShiftType]]))</f>
        <v>Weekend</v>
      </c>
      <c r="N76">
        <f>VALUE(TRIM(RawData[[#This Row],[HoursWorked]]))</f>
        <v>48</v>
      </c>
      <c r="O76" s="1">
        <f>IF(ISNUMBER(RawData[[#This Row],[StartDate]]),RawData[[#This Row],[StartDate]],DATEVALUE(RawData[[#This Row],[StartDate]]))</f>
        <v>45982</v>
      </c>
      <c r="P76" t="str">
        <f>IF(RawData[[#This Row],[HoursWorked_Clean]]&gt;=40,"Full-time","Part-time")</f>
        <v>Full-time</v>
      </c>
      <c r="Q76" t="str">
        <f>IF(OR(RawData[[#This Row],[AbsenceDays]]&gt;=4,RawData[[#This Row],[LateDays]]&gt;=3),"At Risk","OK")</f>
        <v>OK</v>
      </c>
      <c r="R76" t="str">
        <f>IF(RawData[[#This Row],[OvertimeHours]]&gt;10,"High","Normal")</f>
        <v>Normal</v>
      </c>
    </row>
    <row r="77" spans="1:18" x14ac:dyDescent="0.2">
      <c r="A77">
        <v>2075</v>
      </c>
      <c r="B77" t="s">
        <v>36</v>
      </c>
      <c r="C77" t="s">
        <v>37</v>
      </c>
      <c r="D77" t="s">
        <v>20</v>
      </c>
      <c r="E77" t="s">
        <v>35</v>
      </c>
      <c r="F77" t="s">
        <v>24</v>
      </c>
      <c r="G77" t="s">
        <v>28</v>
      </c>
      <c r="H77">
        <v>59</v>
      </c>
      <c r="I77">
        <v>19</v>
      </c>
      <c r="J77">
        <v>2</v>
      </c>
      <c r="K77">
        <v>4</v>
      </c>
      <c r="L77" s="1">
        <v>45901</v>
      </c>
      <c r="M77" t="str">
        <f>PROPER(TRIM(RawData[[#This Row],[ShiftType]]))</f>
        <v>Day</v>
      </c>
      <c r="N77">
        <f>VALUE(TRIM(RawData[[#This Row],[HoursWorked]]))</f>
        <v>59</v>
      </c>
      <c r="O77" s="1">
        <f>IF(ISNUMBER(RawData[[#This Row],[StartDate]]),RawData[[#This Row],[StartDate]],DATEVALUE(RawData[[#This Row],[StartDate]]))</f>
        <v>45901</v>
      </c>
      <c r="P77" t="str">
        <f>IF(RawData[[#This Row],[HoursWorked_Clean]]&gt;=40,"Full-time","Part-time")</f>
        <v>Full-time</v>
      </c>
      <c r="Q77" t="str">
        <f>IF(OR(RawData[[#This Row],[AbsenceDays]]&gt;=4,RawData[[#This Row],[LateDays]]&gt;=3),"At Risk","OK")</f>
        <v>At Risk</v>
      </c>
      <c r="R77" t="str">
        <f>IF(RawData[[#This Row],[OvertimeHours]]&gt;10,"High","Normal")</f>
        <v>High</v>
      </c>
    </row>
    <row r="78" spans="1:18" x14ac:dyDescent="0.2">
      <c r="A78">
        <v>2076</v>
      </c>
      <c r="B78" t="s">
        <v>21</v>
      </c>
      <c r="C78" t="s">
        <v>22</v>
      </c>
      <c r="D78" t="s">
        <v>34</v>
      </c>
      <c r="E78" t="s">
        <v>15</v>
      </c>
      <c r="F78" t="s">
        <v>33</v>
      </c>
      <c r="G78" t="s">
        <v>17</v>
      </c>
      <c r="H78">
        <v>45</v>
      </c>
      <c r="I78">
        <v>17</v>
      </c>
      <c r="J78">
        <v>6</v>
      </c>
      <c r="K78">
        <v>0</v>
      </c>
      <c r="L78" s="1">
        <v>45982</v>
      </c>
      <c r="M78" t="str">
        <f>PROPER(TRIM(RawData[[#This Row],[ShiftType]]))</f>
        <v>Weekend</v>
      </c>
      <c r="N78">
        <f>VALUE(TRIM(RawData[[#This Row],[HoursWorked]]))</f>
        <v>45</v>
      </c>
      <c r="O78" s="1">
        <f>IF(ISNUMBER(RawData[[#This Row],[StartDate]]),RawData[[#This Row],[StartDate]],DATEVALUE(RawData[[#This Row],[StartDate]]))</f>
        <v>45982</v>
      </c>
      <c r="P78" t="str">
        <f>IF(RawData[[#This Row],[HoursWorked_Clean]]&gt;=40,"Full-time","Part-time")</f>
        <v>Full-time</v>
      </c>
      <c r="Q78" t="str">
        <f>IF(OR(RawData[[#This Row],[AbsenceDays]]&gt;=4,RawData[[#This Row],[LateDays]]&gt;=3),"At Risk","OK")</f>
        <v>At Risk</v>
      </c>
      <c r="R78" t="str">
        <f>IF(RawData[[#This Row],[OvertimeHours]]&gt;10,"High","Normal")</f>
        <v>High</v>
      </c>
    </row>
    <row r="79" spans="1:18" x14ac:dyDescent="0.2">
      <c r="A79">
        <v>2077</v>
      </c>
      <c r="B79" t="s">
        <v>21</v>
      </c>
      <c r="C79" t="s">
        <v>22</v>
      </c>
      <c r="D79" t="s">
        <v>20</v>
      </c>
      <c r="E79" t="s">
        <v>32</v>
      </c>
      <c r="F79" t="s">
        <v>33</v>
      </c>
      <c r="G79" t="s">
        <v>28</v>
      </c>
      <c r="H79">
        <v>58</v>
      </c>
      <c r="I79">
        <v>18</v>
      </c>
      <c r="J79">
        <v>5</v>
      </c>
      <c r="K79">
        <v>3</v>
      </c>
      <c r="L79" s="1">
        <v>45932</v>
      </c>
      <c r="M79" t="str">
        <f>PROPER(TRIM(RawData[[#This Row],[ShiftType]]))</f>
        <v>Weekend</v>
      </c>
      <c r="N79">
        <f>VALUE(TRIM(RawData[[#This Row],[HoursWorked]]))</f>
        <v>58</v>
      </c>
      <c r="O79" s="1">
        <f>IF(ISNUMBER(RawData[[#This Row],[StartDate]]),RawData[[#This Row],[StartDate]],DATEVALUE(RawData[[#This Row],[StartDate]]))</f>
        <v>45932</v>
      </c>
      <c r="P79" t="str">
        <f>IF(RawData[[#This Row],[HoursWorked_Clean]]&gt;=40,"Full-time","Part-time")</f>
        <v>Full-time</v>
      </c>
      <c r="Q79" t="str">
        <f>IF(OR(RawData[[#This Row],[AbsenceDays]]&gt;=4,RawData[[#This Row],[LateDays]]&gt;=3),"At Risk","OK")</f>
        <v>At Risk</v>
      </c>
      <c r="R79" t="str">
        <f>IF(RawData[[#This Row],[OvertimeHours]]&gt;10,"High","Normal")</f>
        <v>High</v>
      </c>
    </row>
    <row r="80" spans="1:18" x14ac:dyDescent="0.2">
      <c r="A80">
        <v>2078</v>
      </c>
      <c r="B80" t="s">
        <v>12</v>
      </c>
      <c r="C80" t="s">
        <v>13</v>
      </c>
      <c r="D80" t="s">
        <v>34</v>
      </c>
      <c r="E80" t="s">
        <v>23</v>
      </c>
      <c r="F80" t="s">
        <v>16</v>
      </c>
      <c r="G80" t="s">
        <v>17</v>
      </c>
      <c r="H80">
        <v>30</v>
      </c>
      <c r="I80">
        <v>0</v>
      </c>
      <c r="J80">
        <v>0</v>
      </c>
      <c r="K80">
        <v>3</v>
      </c>
      <c r="L80" s="1">
        <v>45921</v>
      </c>
      <c r="M80" t="str">
        <f>PROPER(TRIM(RawData[[#This Row],[ShiftType]]))</f>
        <v>Night</v>
      </c>
      <c r="N80">
        <f>VALUE(TRIM(RawData[[#This Row],[HoursWorked]]))</f>
        <v>30</v>
      </c>
      <c r="O80" s="1">
        <f>IF(ISNUMBER(RawData[[#This Row],[StartDate]]),RawData[[#This Row],[StartDate]],DATEVALUE(RawData[[#This Row],[StartDate]]))</f>
        <v>45921</v>
      </c>
      <c r="P80" t="str">
        <f>IF(RawData[[#This Row],[HoursWorked_Clean]]&gt;=40,"Full-time","Part-time")</f>
        <v>Part-time</v>
      </c>
      <c r="Q80" t="str">
        <f>IF(OR(RawData[[#This Row],[AbsenceDays]]&gt;=4,RawData[[#This Row],[LateDays]]&gt;=3),"At Risk","OK")</f>
        <v>At Risk</v>
      </c>
      <c r="R80" t="str">
        <f>IF(RawData[[#This Row],[OvertimeHours]]&gt;10,"High","Normal")</f>
        <v>Normal</v>
      </c>
    </row>
    <row r="81" spans="1:18" x14ac:dyDescent="0.2">
      <c r="A81">
        <v>2079</v>
      </c>
      <c r="B81" t="s">
        <v>18</v>
      </c>
      <c r="C81" t="s">
        <v>19</v>
      </c>
      <c r="D81" t="s">
        <v>14</v>
      </c>
      <c r="E81" t="s">
        <v>32</v>
      </c>
      <c r="F81" t="s">
        <v>16</v>
      </c>
      <c r="G81" t="s">
        <v>17</v>
      </c>
      <c r="H81">
        <v>55</v>
      </c>
      <c r="I81">
        <v>15</v>
      </c>
      <c r="J81">
        <v>4</v>
      </c>
      <c r="K81">
        <v>0</v>
      </c>
      <c r="L81" s="1">
        <v>45926</v>
      </c>
      <c r="M81" t="str">
        <f>PROPER(TRIM(RawData[[#This Row],[ShiftType]]))</f>
        <v>Night</v>
      </c>
      <c r="N81">
        <f>VALUE(TRIM(RawData[[#This Row],[HoursWorked]]))</f>
        <v>55</v>
      </c>
      <c r="O81" s="1">
        <f>IF(ISNUMBER(RawData[[#This Row],[StartDate]]),RawData[[#This Row],[StartDate]],DATEVALUE(RawData[[#This Row],[StartDate]]))</f>
        <v>45926</v>
      </c>
      <c r="P81" t="str">
        <f>IF(RawData[[#This Row],[HoursWorked_Clean]]&gt;=40,"Full-time","Part-time")</f>
        <v>Full-time</v>
      </c>
      <c r="Q81" t="str">
        <f>IF(OR(RawData[[#This Row],[AbsenceDays]]&gt;=4,RawData[[#This Row],[LateDays]]&gt;=3),"At Risk","OK")</f>
        <v>At Risk</v>
      </c>
      <c r="R81" t="str">
        <f>IF(RawData[[#This Row],[OvertimeHours]]&gt;10,"High","Normal")</f>
        <v>High</v>
      </c>
    </row>
    <row r="82" spans="1:18" x14ac:dyDescent="0.2">
      <c r="A82">
        <v>2080</v>
      </c>
      <c r="B82" t="s">
        <v>21</v>
      </c>
      <c r="C82" t="s">
        <v>22</v>
      </c>
      <c r="D82" t="s">
        <v>20</v>
      </c>
      <c r="E82" t="s">
        <v>23</v>
      </c>
      <c r="F82" t="s">
        <v>24</v>
      </c>
      <c r="G82" t="s">
        <v>17</v>
      </c>
      <c r="H82">
        <v>48</v>
      </c>
      <c r="I82">
        <v>8</v>
      </c>
      <c r="J82">
        <v>3</v>
      </c>
      <c r="K82">
        <v>2</v>
      </c>
      <c r="L82" s="1">
        <v>45931</v>
      </c>
      <c r="M82" t="str">
        <f>PROPER(TRIM(RawData[[#This Row],[ShiftType]]))</f>
        <v>Day</v>
      </c>
      <c r="N82">
        <f>VALUE(TRIM(RawData[[#This Row],[HoursWorked]]))</f>
        <v>48</v>
      </c>
      <c r="O82" s="1">
        <f>IF(ISNUMBER(RawData[[#This Row],[StartDate]]),RawData[[#This Row],[StartDate]],DATEVALUE(RawData[[#This Row],[StartDate]]))</f>
        <v>45931</v>
      </c>
      <c r="P82" t="str">
        <f>IF(RawData[[#This Row],[HoursWorked_Clean]]&gt;=40,"Full-time","Part-time")</f>
        <v>Full-time</v>
      </c>
      <c r="Q82" t="str">
        <f>IF(OR(RawData[[#This Row],[AbsenceDays]]&gt;=4,RawData[[#This Row],[LateDays]]&gt;=3),"At Risk","OK")</f>
        <v>OK</v>
      </c>
      <c r="R82" t="str">
        <f>IF(RawData[[#This Row],[OvertimeHours]]&gt;10,"High","Normal")</f>
        <v>Normal</v>
      </c>
    </row>
    <row r="83" spans="1:18" x14ac:dyDescent="0.2">
      <c r="A83">
        <v>2081</v>
      </c>
      <c r="B83" t="s">
        <v>36</v>
      </c>
      <c r="C83" t="s">
        <v>37</v>
      </c>
      <c r="D83" t="s">
        <v>27</v>
      </c>
      <c r="E83" t="s">
        <v>15</v>
      </c>
      <c r="F83" t="s">
        <v>24</v>
      </c>
      <c r="G83" t="s">
        <v>17</v>
      </c>
      <c r="H83">
        <v>47</v>
      </c>
      <c r="I83">
        <v>7</v>
      </c>
      <c r="J83">
        <v>3</v>
      </c>
      <c r="K83">
        <v>2</v>
      </c>
      <c r="L83" s="1">
        <v>45972</v>
      </c>
      <c r="M83" t="str">
        <f>PROPER(TRIM(RawData[[#This Row],[ShiftType]]))</f>
        <v>Day</v>
      </c>
      <c r="N83">
        <f>VALUE(TRIM(RawData[[#This Row],[HoursWorked]]))</f>
        <v>47</v>
      </c>
      <c r="O83" s="1">
        <f>IF(ISNUMBER(RawData[[#This Row],[StartDate]]),RawData[[#This Row],[StartDate]],DATEVALUE(RawData[[#This Row],[StartDate]]))</f>
        <v>45972</v>
      </c>
      <c r="P83" t="str">
        <f>IF(RawData[[#This Row],[HoursWorked_Clean]]&gt;=40,"Full-time","Part-time")</f>
        <v>Full-time</v>
      </c>
      <c r="Q83" t="str">
        <f>IF(OR(RawData[[#This Row],[AbsenceDays]]&gt;=4,RawData[[#This Row],[LateDays]]&gt;=3),"At Risk","OK")</f>
        <v>OK</v>
      </c>
      <c r="R83" t="str">
        <f>IF(RawData[[#This Row],[OvertimeHours]]&gt;10,"High","Normal")</f>
        <v>Normal</v>
      </c>
    </row>
    <row r="84" spans="1:18" x14ac:dyDescent="0.2">
      <c r="A84">
        <v>2082</v>
      </c>
      <c r="B84" t="s">
        <v>18</v>
      </c>
      <c r="C84" t="s">
        <v>19</v>
      </c>
      <c r="D84" t="s">
        <v>34</v>
      </c>
      <c r="E84" t="s">
        <v>23</v>
      </c>
      <c r="F84" t="s">
        <v>24</v>
      </c>
      <c r="G84" t="s">
        <v>17</v>
      </c>
      <c r="H84">
        <v>58</v>
      </c>
      <c r="I84">
        <v>18</v>
      </c>
      <c r="J84">
        <v>3</v>
      </c>
      <c r="K84">
        <v>1</v>
      </c>
      <c r="L84" s="1">
        <v>45901</v>
      </c>
      <c r="M84" t="str">
        <f>PROPER(TRIM(RawData[[#This Row],[ShiftType]]))</f>
        <v>Day</v>
      </c>
      <c r="N84">
        <f>VALUE(TRIM(RawData[[#This Row],[HoursWorked]]))</f>
        <v>58</v>
      </c>
      <c r="O84" s="1">
        <f>IF(ISNUMBER(RawData[[#This Row],[StartDate]]),RawData[[#This Row],[StartDate]],DATEVALUE(RawData[[#This Row],[StartDate]]))</f>
        <v>45901</v>
      </c>
      <c r="P84" t="str">
        <f>IF(RawData[[#This Row],[HoursWorked_Clean]]&gt;=40,"Full-time","Part-time")</f>
        <v>Full-time</v>
      </c>
      <c r="Q84" t="str">
        <f>IF(OR(RawData[[#This Row],[AbsenceDays]]&gt;=4,RawData[[#This Row],[LateDays]]&gt;=3),"At Risk","OK")</f>
        <v>OK</v>
      </c>
      <c r="R84" t="str">
        <f>IF(RawData[[#This Row],[OvertimeHours]]&gt;10,"High","Normal")</f>
        <v>High</v>
      </c>
    </row>
    <row r="85" spans="1:18" x14ac:dyDescent="0.2">
      <c r="A85">
        <v>2083</v>
      </c>
      <c r="B85" t="s">
        <v>18</v>
      </c>
      <c r="C85" t="s">
        <v>19</v>
      </c>
      <c r="D85" t="s">
        <v>20</v>
      </c>
      <c r="E85" t="s">
        <v>35</v>
      </c>
      <c r="F85" t="s">
        <v>33</v>
      </c>
      <c r="G85" t="s">
        <v>28</v>
      </c>
      <c r="H85">
        <v>37</v>
      </c>
      <c r="I85">
        <v>0</v>
      </c>
      <c r="J85">
        <v>3</v>
      </c>
      <c r="K85">
        <v>2</v>
      </c>
      <c r="L85" s="1">
        <v>45988</v>
      </c>
      <c r="M85" t="str">
        <f>PROPER(TRIM(RawData[[#This Row],[ShiftType]]))</f>
        <v>Weekend</v>
      </c>
      <c r="N85">
        <f>VALUE(TRIM(RawData[[#This Row],[HoursWorked]]))</f>
        <v>37</v>
      </c>
      <c r="O85" s="1">
        <f>IF(ISNUMBER(RawData[[#This Row],[StartDate]]),RawData[[#This Row],[StartDate]],DATEVALUE(RawData[[#This Row],[StartDate]]))</f>
        <v>45988</v>
      </c>
      <c r="P85" t="str">
        <f>IF(RawData[[#This Row],[HoursWorked_Clean]]&gt;=40,"Full-time","Part-time")</f>
        <v>Part-time</v>
      </c>
      <c r="Q85" t="str">
        <f>IF(OR(RawData[[#This Row],[AbsenceDays]]&gt;=4,RawData[[#This Row],[LateDays]]&gt;=3),"At Risk","OK")</f>
        <v>OK</v>
      </c>
      <c r="R85" t="str">
        <f>IF(RawData[[#This Row],[OvertimeHours]]&gt;10,"High","Normal")</f>
        <v>Normal</v>
      </c>
    </row>
    <row r="86" spans="1:18" x14ac:dyDescent="0.2">
      <c r="A86">
        <v>2084</v>
      </c>
      <c r="B86" t="s">
        <v>12</v>
      </c>
      <c r="C86" t="s">
        <v>13</v>
      </c>
      <c r="D86" t="s">
        <v>14</v>
      </c>
      <c r="E86" t="s">
        <v>30</v>
      </c>
      <c r="F86" t="s">
        <v>24</v>
      </c>
      <c r="G86" t="s">
        <v>17</v>
      </c>
      <c r="H86">
        <v>55</v>
      </c>
      <c r="I86">
        <v>15</v>
      </c>
      <c r="J86">
        <v>2</v>
      </c>
      <c r="K86">
        <v>0</v>
      </c>
      <c r="L86" s="1">
        <v>45903</v>
      </c>
      <c r="M86" t="str">
        <f>PROPER(TRIM(RawData[[#This Row],[ShiftType]]))</f>
        <v>Day</v>
      </c>
      <c r="N86">
        <f>VALUE(TRIM(RawData[[#This Row],[HoursWorked]]))</f>
        <v>55</v>
      </c>
      <c r="O86" s="1">
        <f>IF(ISNUMBER(RawData[[#This Row],[StartDate]]),RawData[[#This Row],[StartDate]],DATEVALUE(RawData[[#This Row],[StartDate]]))</f>
        <v>45903</v>
      </c>
      <c r="P86" t="str">
        <f>IF(RawData[[#This Row],[HoursWorked_Clean]]&gt;=40,"Full-time","Part-time")</f>
        <v>Full-time</v>
      </c>
      <c r="Q86" t="str">
        <f>IF(OR(RawData[[#This Row],[AbsenceDays]]&gt;=4,RawData[[#This Row],[LateDays]]&gt;=3),"At Risk","OK")</f>
        <v>OK</v>
      </c>
      <c r="R86" t="str">
        <f>IF(RawData[[#This Row],[OvertimeHours]]&gt;10,"High","Normal")</f>
        <v>High</v>
      </c>
    </row>
    <row r="87" spans="1:18" x14ac:dyDescent="0.2">
      <c r="A87">
        <v>2085</v>
      </c>
      <c r="B87" t="s">
        <v>21</v>
      </c>
      <c r="C87" t="s">
        <v>22</v>
      </c>
      <c r="D87" t="s">
        <v>14</v>
      </c>
      <c r="E87" t="s">
        <v>30</v>
      </c>
      <c r="F87" t="s">
        <v>24</v>
      </c>
      <c r="G87" t="s">
        <v>28</v>
      </c>
      <c r="H87">
        <v>32</v>
      </c>
      <c r="I87">
        <v>0</v>
      </c>
      <c r="J87">
        <v>2</v>
      </c>
      <c r="K87">
        <v>4</v>
      </c>
      <c r="L87" s="1">
        <v>45911</v>
      </c>
      <c r="M87" t="str">
        <f>PROPER(TRIM(RawData[[#This Row],[ShiftType]]))</f>
        <v>Day</v>
      </c>
      <c r="N87">
        <f>VALUE(TRIM(RawData[[#This Row],[HoursWorked]]))</f>
        <v>32</v>
      </c>
      <c r="O87" s="1">
        <f>IF(ISNUMBER(RawData[[#This Row],[StartDate]]),RawData[[#This Row],[StartDate]],DATEVALUE(RawData[[#This Row],[StartDate]]))</f>
        <v>45911</v>
      </c>
      <c r="P87" t="str">
        <f>IF(RawData[[#This Row],[HoursWorked_Clean]]&gt;=40,"Full-time","Part-time")</f>
        <v>Part-time</v>
      </c>
      <c r="Q87" t="str">
        <f>IF(OR(RawData[[#This Row],[AbsenceDays]]&gt;=4,RawData[[#This Row],[LateDays]]&gt;=3),"At Risk","OK")</f>
        <v>At Risk</v>
      </c>
      <c r="R87" t="str">
        <f>IF(RawData[[#This Row],[OvertimeHours]]&gt;10,"High","Normal")</f>
        <v>Normal</v>
      </c>
    </row>
    <row r="88" spans="1:18" x14ac:dyDescent="0.2">
      <c r="A88">
        <v>2086</v>
      </c>
      <c r="B88" t="s">
        <v>21</v>
      </c>
      <c r="C88" t="s">
        <v>22</v>
      </c>
      <c r="D88" t="s">
        <v>14</v>
      </c>
      <c r="E88" t="s">
        <v>15</v>
      </c>
      <c r="F88" t="s">
        <v>33</v>
      </c>
      <c r="G88" t="s">
        <v>17</v>
      </c>
      <c r="H88">
        <v>45</v>
      </c>
      <c r="I88">
        <v>5</v>
      </c>
      <c r="J88">
        <v>0</v>
      </c>
      <c r="K88">
        <v>0</v>
      </c>
      <c r="L88" s="1">
        <v>45917</v>
      </c>
      <c r="M88" t="str">
        <f>PROPER(TRIM(RawData[[#This Row],[ShiftType]]))</f>
        <v>Weekend</v>
      </c>
      <c r="N88">
        <f>VALUE(TRIM(RawData[[#This Row],[HoursWorked]]))</f>
        <v>45</v>
      </c>
      <c r="O88" s="1">
        <f>IF(ISNUMBER(RawData[[#This Row],[StartDate]]),RawData[[#This Row],[StartDate]],DATEVALUE(RawData[[#This Row],[StartDate]]))</f>
        <v>45917</v>
      </c>
      <c r="P88" t="str">
        <f>IF(RawData[[#This Row],[HoursWorked_Clean]]&gt;=40,"Full-time","Part-time")</f>
        <v>Full-time</v>
      </c>
      <c r="Q88" t="str">
        <f>IF(OR(RawData[[#This Row],[AbsenceDays]]&gt;=4,RawData[[#This Row],[LateDays]]&gt;=3),"At Risk","OK")</f>
        <v>OK</v>
      </c>
      <c r="R88" t="str">
        <f>IF(RawData[[#This Row],[OvertimeHours]]&gt;10,"High","Normal")</f>
        <v>Normal</v>
      </c>
    </row>
    <row r="89" spans="1:18" x14ac:dyDescent="0.2">
      <c r="A89">
        <v>2087</v>
      </c>
      <c r="B89" t="s">
        <v>12</v>
      </c>
      <c r="C89" t="s">
        <v>13</v>
      </c>
      <c r="D89" t="s">
        <v>20</v>
      </c>
      <c r="E89" t="s">
        <v>32</v>
      </c>
      <c r="F89" t="s">
        <v>33</v>
      </c>
      <c r="G89" t="s">
        <v>17</v>
      </c>
      <c r="H89">
        <v>35</v>
      </c>
      <c r="I89">
        <v>0</v>
      </c>
      <c r="J89">
        <v>1</v>
      </c>
      <c r="K89">
        <v>3</v>
      </c>
      <c r="L89" s="1">
        <v>45976</v>
      </c>
      <c r="M89" t="str">
        <f>PROPER(TRIM(RawData[[#This Row],[ShiftType]]))</f>
        <v>Weekend</v>
      </c>
      <c r="N89">
        <f>VALUE(TRIM(RawData[[#This Row],[HoursWorked]]))</f>
        <v>35</v>
      </c>
      <c r="O89" s="1">
        <f>IF(ISNUMBER(RawData[[#This Row],[StartDate]]),RawData[[#This Row],[StartDate]],DATEVALUE(RawData[[#This Row],[StartDate]]))</f>
        <v>45976</v>
      </c>
      <c r="P89" t="str">
        <f>IF(RawData[[#This Row],[HoursWorked_Clean]]&gt;=40,"Full-time","Part-time")</f>
        <v>Part-time</v>
      </c>
      <c r="Q89" t="str">
        <f>IF(OR(RawData[[#This Row],[AbsenceDays]]&gt;=4,RawData[[#This Row],[LateDays]]&gt;=3),"At Risk","OK")</f>
        <v>At Risk</v>
      </c>
      <c r="R89" t="str">
        <f>IF(RawData[[#This Row],[OvertimeHours]]&gt;10,"High","Normal")</f>
        <v>Normal</v>
      </c>
    </row>
    <row r="90" spans="1:18" x14ac:dyDescent="0.2">
      <c r="A90">
        <v>2088</v>
      </c>
      <c r="B90" t="s">
        <v>21</v>
      </c>
      <c r="C90" t="s">
        <v>22</v>
      </c>
      <c r="D90" t="s">
        <v>20</v>
      </c>
      <c r="E90" t="s">
        <v>35</v>
      </c>
      <c r="F90" t="s">
        <v>16</v>
      </c>
      <c r="G90" t="s">
        <v>28</v>
      </c>
      <c r="H90">
        <v>40</v>
      </c>
      <c r="I90">
        <v>0</v>
      </c>
      <c r="J90">
        <v>1</v>
      </c>
      <c r="K90">
        <v>1</v>
      </c>
      <c r="L90" s="1">
        <v>45908</v>
      </c>
      <c r="M90" t="str">
        <f>PROPER(TRIM(RawData[[#This Row],[ShiftType]]))</f>
        <v>Night</v>
      </c>
      <c r="N90">
        <f>VALUE(TRIM(RawData[[#This Row],[HoursWorked]]))</f>
        <v>40</v>
      </c>
      <c r="O90" s="1">
        <f>IF(ISNUMBER(RawData[[#This Row],[StartDate]]),RawData[[#This Row],[StartDate]],DATEVALUE(RawData[[#This Row],[StartDate]]))</f>
        <v>45908</v>
      </c>
      <c r="P90" t="str">
        <f>IF(RawData[[#This Row],[HoursWorked_Clean]]&gt;=40,"Full-time","Part-time")</f>
        <v>Full-time</v>
      </c>
      <c r="Q90" t="str">
        <f>IF(OR(RawData[[#This Row],[AbsenceDays]]&gt;=4,RawData[[#This Row],[LateDays]]&gt;=3),"At Risk","OK")</f>
        <v>OK</v>
      </c>
      <c r="R90" t="str">
        <f>IF(RawData[[#This Row],[OvertimeHours]]&gt;10,"High","Normal")</f>
        <v>Normal</v>
      </c>
    </row>
    <row r="91" spans="1:18" x14ac:dyDescent="0.2">
      <c r="A91">
        <v>2089</v>
      </c>
      <c r="B91" t="s">
        <v>36</v>
      </c>
      <c r="C91" t="s">
        <v>37</v>
      </c>
      <c r="D91" t="s">
        <v>34</v>
      </c>
      <c r="E91" t="s">
        <v>32</v>
      </c>
      <c r="F91" t="s">
        <v>16</v>
      </c>
      <c r="G91" t="s">
        <v>28</v>
      </c>
      <c r="H91">
        <v>54</v>
      </c>
      <c r="I91">
        <v>14</v>
      </c>
      <c r="J91">
        <v>0</v>
      </c>
      <c r="K91">
        <v>1</v>
      </c>
      <c r="L91" s="1">
        <v>45939</v>
      </c>
      <c r="M91" t="str">
        <f>PROPER(TRIM(RawData[[#This Row],[ShiftType]]))</f>
        <v>Night</v>
      </c>
      <c r="N91">
        <f>VALUE(TRIM(RawData[[#This Row],[HoursWorked]]))</f>
        <v>54</v>
      </c>
      <c r="O91" s="1">
        <f>IF(ISNUMBER(RawData[[#This Row],[StartDate]]),RawData[[#This Row],[StartDate]],DATEVALUE(RawData[[#This Row],[StartDate]]))</f>
        <v>45939</v>
      </c>
      <c r="P91" t="str">
        <f>IF(RawData[[#This Row],[HoursWorked_Clean]]&gt;=40,"Full-time","Part-time")</f>
        <v>Full-time</v>
      </c>
      <c r="Q91" t="str">
        <f>IF(OR(RawData[[#This Row],[AbsenceDays]]&gt;=4,RawData[[#This Row],[LateDays]]&gt;=3),"At Risk","OK")</f>
        <v>OK</v>
      </c>
      <c r="R91" t="str">
        <f>IF(RawData[[#This Row],[OvertimeHours]]&gt;10,"High","Normal")</f>
        <v>High</v>
      </c>
    </row>
    <row r="92" spans="1:18" x14ac:dyDescent="0.2">
      <c r="A92">
        <v>2090</v>
      </c>
      <c r="B92" t="s">
        <v>31</v>
      </c>
      <c r="C92" t="s">
        <v>22</v>
      </c>
      <c r="D92" t="s">
        <v>27</v>
      </c>
      <c r="E92" t="s">
        <v>32</v>
      </c>
      <c r="F92" t="s">
        <v>24</v>
      </c>
      <c r="G92" t="s">
        <v>28</v>
      </c>
      <c r="H92">
        <v>44</v>
      </c>
      <c r="I92">
        <v>4</v>
      </c>
      <c r="J92">
        <v>0</v>
      </c>
      <c r="K92">
        <v>1</v>
      </c>
      <c r="L92" s="1">
        <v>45928</v>
      </c>
      <c r="M92" t="str">
        <f>PROPER(TRIM(RawData[[#This Row],[ShiftType]]))</f>
        <v>Day</v>
      </c>
      <c r="N92">
        <f>VALUE(TRIM(RawData[[#This Row],[HoursWorked]]))</f>
        <v>44</v>
      </c>
      <c r="O92" s="1">
        <f>IF(ISNUMBER(RawData[[#This Row],[StartDate]]),RawData[[#This Row],[StartDate]],DATEVALUE(RawData[[#This Row],[StartDate]]))</f>
        <v>45928</v>
      </c>
      <c r="P92" t="str">
        <f>IF(RawData[[#This Row],[HoursWorked_Clean]]&gt;=40,"Full-time","Part-time")</f>
        <v>Full-time</v>
      </c>
      <c r="Q92" t="str">
        <f>IF(OR(RawData[[#This Row],[AbsenceDays]]&gt;=4,RawData[[#This Row],[LateDays]]&gt;=3),"At Risk","OK")</f>
        <v>OK</v>
      </c>
      <c r="R92" t="str">
        <f>IF(RawData[[#This Row],[OvertimeHours]]&gt;10,"High","Normal")</f>
        <v>Normal</v>
      </c>
    </row>
    <row r="93" spans="1:18" x14ac:dyDescent="0.2">
      <c r="A93">
        <v>2091</v>
      </c>
      <c r="B93" t="s">
        <v>36</v>
      </c>
      <c r="C93" t="s">
        <v>37</v>
      </c>
      <c r="D93" t="s">
        <v>34</v>
      </c>
      <c r="E93" t="s">
        <v>32</v>
      </c>
      <c r="F93" t="s">
        <v>16</v>
      </c>
      <c r="G93" t="s">
        <v>17</v>
      </c>
      <c r="H93">
        <v>43</v>
      </c>
      <c r="I93">
        <v>3</v>
      </c>
      <c r="J93">
        <v>0</v>
      </c>
      <c r="K93">
        <v>1</v>
      </c>
      <c r="L93" s="1">
        <v>45910</v>
      </c>
      <c r="M93" t="str">
        <f>PROPER(TRIM(RawData[[#This Row],[ShiftType]]))</f>
        <v>Night</v>
      </c>
      <c r="N93">
        <f>VALUE(TRIM(RawData[[#This Row],[HoursWorked]]))</f>
        <v>43</v>
      </c>
      <c r="O93" s="1">
        <f>IF(ISNUMBER(RawData[[#This Row],[StartDate]]),RawData[[#This Row],[StartDate]],DATEVALUE(RawData[[#This Row],[StartDate]]))</f>
        <v>45910</v>
      </c>
      <c r="P93" t="str">
        <f>IF(RawData[[#This Row],[HoursWorked_Clean]]&gt;=40,"Full-time","Part-time")</f>
        <v>Full-time</v>
      </c>
      <c r="Q93" t="str">
        <f>IF(OR(RawData[[#This Row],[AbsenceDays]]&gt;=4,RawData[[#This Row],[LateDays]]&gt;=3),"At Risk","OK")</f>
        <v>OK</v>
      </c>
      <c r="R93" t="str">
        <f>IF(RawData[[#This Row],[OvertimeHours]]&gt;10,"High","Normal")</f>
        <v>Normal</v>
      </c>
    </row>
    <row r="94" spans="1:18" x14ac:dyDescent="0.2">
      <c r="A94">
        <v>2092</v>
      </c>
      <c r="B94" t="s">
        <v>18</v>
      </c>
      <c r="C94" t="s">
        <v>19</v>
      </c>
      <c r="D94" t="s">
        <v>27</v>
      </c>
      <c r="E94" t="s">
        <v>32</v>
      </c>
      <c r="F94" t="s">
        <v>33</v>
      </c>
      <c r="G94" t="s">
        <v>28</v>
      </c>
      <c r="H94">
        <v>57</v>
      </c>
      <c r="I94">
        <v>17</v>
      </c>
      <c r="J94">
        <v>4</v>
      </c>
      <c r="K94">
        <v>2</v>
      </c>
      <c r="L94" s="1">
        <v>45958</v>
      </c>
      <c r="M94" t="str">
        <f>PROPER(TRIM(RawData[[#This Row],[ShiftType]]))</f>
        <v>Weekend</v>
      </c>
      <c r="N94">
        <f>VALUE(TRIM(RawData[[#This Row],[HoursWorked]]))</f>
        <v>57</v>
      </c>
      <c r="O94" s="1">
        <f>IF(ISNUMBER(RawData[[#This Row],[StartDate]]),RawData[[#This Row],[StartDate]],DATEVALUE(RawData[[#This Row],[StartDate]]))</f>
        <v>45958</v>
      </c>
      <c r="P94" t="str">
        <f>IF(RawData[[#This Row],[HoursWorked_Clean]]&gt;=40,"Full-time","Part-time")</f>
        <v>Full-time</v>
      </c>
      <c r="Q94" t="str">
        <f>IF(OR(RawData[[#This Row],[AbsenceDays]]&gt;=4,RawData[[#This Row],[LateDays]]&gt;=3),"At Risk","OK")</f>
        <v>At Risk</v>
      </c>
      <c r="R94" t="str">
        <f>IF(RawData[[#This Row],[OvertimeHours]]&gt;10,"High","Normal")</f>
        <v>High</v>
      </c>
    </row>
    <row r="95" spans="1:18" x14ac:dyDescent="0.2">
      <c r="A95">
        <v>2093</v>
      </c>
      <c r="B95" t="s">
        <v>18</v>
      </c>
      <c r="C95" t="s">
        <v>19</v>
      </c>
      <c r="D95" t="s">
        <v>14</v>
      </c>
      <c r="E95" t="s">
        <v>35</v>
      </c>
      <c r="F95" t="s">
        <v>24</v>
      </c>
      <c r="G95" t="s">
        <v>28</v>
      </c>
      <c r="H95">
        <v>46</v>
      </c>
      <c r="I95">
        <v>6</v>
      </c>
      <c r="J95">
        <v>1</v>
      </c>
      <c r="K95">
        <v>2</v>
      </c>
      <c r="L95" s="1">
        <v>45924</v>
      </c>
      <c r="M95" t="str">
        <f>PROPER(TRIM(RawData[[#This Row],[ShiftType]]))</f>
        <v>Day</v>
      </c>
      <c r="N95">
        <f>VALUE(TRIM(RawData[[#This Row],[HoursWorked]]))</f>
        <v>46</v>
      </c>
      <c r="O95" s="1">
        <f>IF(ISNUMBER(RawData[[#This Row],[StartDate]]),RawData[[#This Row],[StartDate]],DATEVALUE(RawData[[#This Row],[StartDate]]))</f>
        <v>45924</v>
      </c>
      <c r="P95" t="str">
        <f>IF(RawData[[#This Row],[HoursWorked_Clean]]&gt;=40,"Full-time","Part-time")</f>
        <v>Full-time</v>
      </c>
      <c r="Q95" t="str">
        <f>IF(OR(RawData[[#This Row],[AbsenceDays]]&gt;=4,RawData[[#This Row],[LateDays]]&gt;=3),"At Risk","OK")</f>
        <v>OK</v>
      </c>
      <c r="R95" t="str">
        <f>IF(RawData[[#This Row],[OvertimeHours]]&gt;10,"High","Normal")</f>
        <v>Normal</v>
      </c>
    </row>
    <row r="96" spans="1:18" x14ac:dyDescent="0.2">
      <c r="A96">
        <v>2094</v>
      </c>
      <c r="B96" t="s">
        <v>25</v>
      </c>
      <c r="C96" t="s">
        <v>26</v>
      </c>
      <c r="D96" t="s">
        <v>27</v>
      </c>
      <c r="E96" t="s">
        <v>32</v>
      </c>
      <c r="F96" t="s">
        <v>33</v>
      </c>
      <c r="G96" t="s">
        <v>28</v>
      </c>
      <c r="H96">
        <v>55</v>
      </c>
      <c r="I96">
        <v>15</v>
      </c>
      <c r="J96">
        <v>3</v>
      </c>
      <c r="K96">
        <v>0</v>
      </c>
      <c r="L96" s="1">
        <v>45977</v>
      </c>
      <c r="M96" t="str">
        <f>PROPER(TRIM(RawData[[#This Row],[ShiftType]]))</f>
        <v>Weekend</v>
      </c>
      <c r="N96">
        <f>VALUE(TRIM(RawData[[#This Row],[HoursWorked]]))</f>
        <v>55</v>
      </c>
      <c r="O96" s="1">
        <f>IF(ISNUMBER(RawData[[#This Row],[StartDate]]),RawData[[#This Row],[StartDate]],DATEVALUE(RawData[[#This Row],[StartDate]]))</f>
        <v>45977</v>
      </c>
      <c r="P96" t="str">
        <f>IF(RawData[[#This Row],[HoursWorked_Clean]]&gt;=40,"Full-time","Part-time")</f>
        <v>Full-time</v>
      </c>
      <c r="Q96" t="str">
        <f>IF(OR(RawData[[#This Row],[AbsenceDays]]&gt;=4,RawData[[#This Row],[LateDays]]&gt;=3),"At Risk","OK")</f>
        <v>OK</v>
      </c>
      <c r="R96" t="str">
        <f>IF(RawData[[#This Row],[OvertimeHours]]&gt;10,"High","Normal")</f>
        <v>High</v>
      </c>
    </row>
    <row r="97" spans="1:18" x14ac:dyDescent="0.2">
      <c r="A97">
        <v>2095</v>
      </c>
      <c r="B97" t="s">
        <v>25</v>
      </c>
      <c r="C97" t="s">
        <v>26</v>
      </c>
      <c r="D97" t="s">
        <v>20</v>
      </c>
      <c r="E97" t="s">
        <v>35</v>
      </c>
      <c r="F97" t="s">
        <v>24</v>
      </c>
      <c r="G97" t="s">
        <v>17</v>
      </c>
      <c r="H97">
        <v>41</v>
      </c>
      <c r="I97">
        <v>1</v>
      </c>
      <c r="J97">
        <v>5</v>
      </c>
      <c r="K97">
        <v>4</v>
      </c>
      <c r="L97" s="1">
        <v>45980</v>
      </c>
      <c r="M97" t="str">
        <f>PROPER(TRIM(RawData[[#This Row],[ShiftType]]))</f>
        <v>Day</v>
      </c>
      <c r="N97">
        <f>VALUE(TRIM(RawData[[#This Row],[HoursWorked]]))</f>
        <v>41</v>
      </c>
      <c r="O97" s="1">
        <f>IF(ISNUMBER(RawData[[#This Row],[StartDate]]),RawData[[#This Row],[StartDate]],DATEVALUE(RawData[[#This Row],[StartDate]]))</f>
        <v>45980</v>
      </c>
      <c r="P97" t="str">
        <f>IF(RawData[[#This Row],[HoursWorked_Clean]]&gt;=40,"Full-time","Part-time")</f>
        <v>Full-time</v>
      </c>
      <c r="Q97" t="str">
        <f>IF(OR(RawData[[#This Row],[AbsenceDays]]&gt;=4,RawData[[#This Row],[LateDays]]&gt;=3),"At Risk","OK")</f>
        <v>At Risk</v>
      </c>
      <c r="R97" t="str">
        <f>IF(RawData[[#This Row],[OvertimeHours]]&gt;10,"High","Normal")</f>
        <v>Normal</v>
      </c>
    </row>
    <row r="98" spans="1:18" x14ac:dyDescent="0.2">
      <c r="A98">
        <v>2096</v>
      </c>
      <c r="B98" t="s">
        <v>25</v>
      </c>
      <c r="C98" t="s">
        <v>26</v>
      </c>
      <c r="D98" t="s">
        <v>14</v>
      </c>
      <c r="E98" t="s">
        <v>35</v>
      </c>
      <c r="F98" t="s">
        <v>24</v>
      </c>
      <c r="G98" t="s">
        <v>17</v>
      </c>
      <c r="H98">
        <v>50</v>
      </c>
      <c r="I98">
        <v>10</v>
      </c>
      <c r="J98">
        <v>5</v>
      </c>
      <c r="K98">
        <v>4</v>
      </c>
      <c r="L98" s="1">
        <v>45947</v>
      </c>
      <c r="M98" t="str">
        <f>PROPER(TRIM(RawData[[#This Row],[ShiftType]]))</f>
        <v>Day</v>
      </c>
      <c r="N98">
        <f>VALUE(TRIM(RawData[[#This Row],[HoursWorked]]))</f>
        <v>50</v>
      </c>
      <c r="O98" s="1">
        <f>IF(ISNUMBER(RawData[[#This Row],[StartDate]]),RawData[[#This Row],[StartDate]],DATEVALUE(RawData[[#This Row],[StartDate]]))</f>
        <v>45947</v>
      </c>
      <c r="P98" t="str">
        <f>IF(RawData[[#This Row],[HoursWorked_Clean]]&gt;=40,"Full-time","Part-time")</f>
        <v>Full-time</v>
      </c>
      <c r="Q98" t="str">
        <f>IF(OR(RawData[[#This Row],[AbsenceDays]]&gt;=4,RawData[[#This Row],[LateDays]]&gt;=3),"At Risk","OK")</f>
        <v>At Risk</v>
      </c>
      <c r="R98" t="str">
        <f>IF(RawData[[#This Row],[OvertimeHours]]&gt;10,"High","Normal")</f>
        <v>Normal</v>
      </c>
    </row>
    <row r="99" spans="1:18" x14ac:dyDescent="0.2">
      <c r="A99">
        <v>2097</v>
      </c>
      <c r="B99" t="s">
        <v>12</v>
      </c>
      <c r="C99" t="s">
        <v>13</v>
      </c>
      <c r="D99" t="s">
        <v>14</v>
      </c>
      <c r="E99" t="s">
        <v>30</v>
      </c>
      <c r="F99" t="s">
        <v>24</v>
      </c>
      <c r="G99" t="s">
        <v>28</v>
      </c>
      <c r="H99">
        <v>44</v>
      </c>
      <c r="I99">
        <v>4</v>
      </c>
      <c r="J99">
        <v>5</v>
      </c>
      <c r="K99">
        <v>4</v>
      </c>
      <c r="L99" s="1">
        <v>45921</v>
      </c>
      <c r="M99" t="str">
        <f>PROPER(TRIM(RawData[[#This Row],[ShiftType]]))</f>
        <v>Day</v>
      </c>
      <c r="N99">
        <f>VALUE(TRIM(RawData[[#This Row],[HoursWorked]]))</f>
        <v>44</v>
      </c>
      <c r="O99" s="1">
        <f>IF(ISNUMBER(RawData[[#This Row],[StartDate]]),RawData[[#This Row],[StartDate]],DATEVALUE(RawData[[#This Row],[StartDate]]))</f>
        <v>45921</v>
      </c>
      <c r="P99" t="str">
        <f>IF(RawData[[#This Row],[HoursWorked_Clean]]&gt;=40,"Full-time","Part-time")</f>
        <v>Full-time</v>
      </c>
      <c r="Q99" t="str">
        <f>IF(OR(RawData[[#This Row],[AbsenceDays]]&gt;=4,RawData[[#This Row],[LateDays]]&gt;=3),"At Risk","OK")</f>
        <v>At Risk</v>
      </c>
      <c r="R99" t="str">
        <f>IF(RawData[[#This Row],[OvertimeHours]]&gt;10,"High","Normal")</f>
        <v>Normal</v>
      </c>
    </row>
    <row r="100" spans="1:18" x14ac:dyDescent="0.2">
      <c r="A100">
        <v>2098</v>
      </c>
      <c r="B100" t="s">
        <v>25</v>
      </c>
      <c r="C100" t="s">
        <v>26</v>
      </c>
      <c r="D100" t="s">
        <v>20</v>
      </c>
      <c r="E100" t="s">
        <v>30</v>
      </c>
      <c r="F100" t="s">
        <v>24</v>
      </c>
      <c r="G100" t="s">
        <v>28</v>
      </c>
      <c r="H100">
        <v>47</v>
      </c>
      <c r="I100">
        <v>7</v>
      </c>
      <c r="J100">
        <v>1</v>
      </c>
      <c r="K100">
        <v>2</v>
      </c>
      <c r="L100" s="1">
        <v>45913</v>
      </c>
      <c r="M100" t="str">
        <f>PROPER(TRIM(RawData[[#This Row],[ShiftType]]))</f>
        <v>Day</v>
      </c>
      <c r="N100">
        <f>VALUE(TRIM(RawData[[#This Row],[HoursWorked]]))</f>
        <v>47</v>
      </c>
      <c r="O100" s="1">
        <f>IF(ISNUMBER(RawData[[#This Row],[StartDate]]),RawData[[#This Row],[StartDate]],DATEVALUE(RawData[[#This Row],[StartDate]]))</f>
        <v>45913</v>
      </c>
      <c r="P100" t="str">
        <f>IF(RawData[[#This Row],[HoursWorked_Clean]]&gt;=40,"Full-time","Part-time")</f>
        <v>Full-time</v>
      </c>
      <c r="Q100" t="str">
        <f>IF(OR(RawData[[#This Row],[AbsenceDays]]&gt;=4,RawData[[#This Row],[LateDays]]&gt;=3),"At Risk","OK")</f>
        <v>OK</v>
      </c>
      <c r="R100" t="str">
        <f>IF(RawData[[#This Row],[OvertimeHours]]&gt;10,"High","Normal")</f>
        <v>Normal</v>
      </c>
    </row>
    <row r="101" spans="1:18" x14ac:dyDescent="0.2">
      <c r="A101">
        <v>2099</v>
      </c>
      <c r="B101" t="s">
        <v>12</v>
      </c>
      <c r="C101" t="s">
        <v>13</v>
      </c>
      <c r="D101" t="s">
        <v>14</v>
      </c>
      <c r="E101" t="s">
        <v>15</v>
      </c>
      <c r="F101" t="s">
        <v>16</v>
      </c>
      <c r="G101" t="s">
        <v>28</v>
      </c>
      <c r="H101">
        <v>42</v>
      </c>
      <c r="I101">
        <v>2</v>
      </c>
      <c r="J101">
        <v>2</v>
      </c>
      <c r="K101">
        <v>2</v>
      </c>
      <c r="L101" s="1">
        <v>45938</v>
      </c>
      <c r="M101" t="str">
        <f>PROPER(TRIM(RawData[[#This Row],[ShiftType]]))</f>
        <v>Night</v>
      </c>
      <c r="N101">
        <f>VALUE(TRIM(RawData[[#This Row],[HoursWorked]]))</f>
        <v>42</v>
      </c>
      <c r="O101" s="1">
        <f>IF(ISNUMBER(RawData[[#This Row],[StartDate]]),RawData[[#This Row],[StartDate]],DATEVALUE(RawData[[#This Row],[StartDate]]))</f>
        <v>45938</v>
      </c>
      <c r="P101" t="str">
        <f>IF(RawData[[#This Row],[HoursWorked_Clean]]&gt;=40,"Full-time","Part-time")</f>
        <v>Full-time</v>
      </c>
      <c r="Q101" t="str">
        <f>IF(OR(RawData[[#This Row],[AbsenceDays]]&gt;=4,RawData[[#This Row],[LateDays]]&gt;=3),"At Risk","OK")</f>
        <v>OK</v>
      </c>
      <c r="R101" t="str">
        <f>IF(RawData[[#This Row],[OvertimeHours]]&gt;10,"High","Normal")</f>
        <v>Normal</v>
      </c>
    </row>
    <row r="102" spans="1:18" x14ac:dyDescent="0.2">
      <c r="A102">
        <v>2100</v>
      </c>
      <c r="B102" t="s">
        <v>31</v>
      </c>
      <c r="C102" t="s">
        <v>22</v>
      </c>
      <c r="D102" t="s">
        <v>34</v>
      </c>
      <c r="E102" t="s">
        <v>30</v>
      </c>
      <c r="F102" t="s">
        <v>24</v>
      </c>
      <c r="G102" t="s">
        <v>28</v>
      </c>
      <c r="H102">
        <v>54</v>
      </c>
      <c r="I102">
        <v>14</v>
      </c>
      <c r="J102">
        <v>1</v>
      </c>
      <c r="K102">
        <v>1</v>
      </c>
      <c r="L102" s="1">
        <v>45956</v>
      </c>
      <c r="M102" t="str">
        <f>PROPER(TRIM(RawData[[#This Row],[ShiftType]]))</f>
        <v>Day</v>
      </c>
      <c r="N102">
        <f>VALUE(TRIM(RawData[[#This Row],[HoursWorked]]))</f>
        <v>54</v>
      </c>
      <c r="O102" s="1">
        <f>IF(ISNUMBER(RawData[[#This Row],[StartDate]]),RawData[[#This Row],[StartDate]],DATEVALUE(RawData[[#This Row],[StartDate]]))</f>
        <v>45956</v>
      </c>
      <c r="P102" t="str">
        <f>IF(RawData[[#This Row],[HoursWorked_Clean]]&gt;=40,"Full-time","Part-time")</f>
        <v>Full-time</v>
      </c>
      <c r="Q102" t="str">
        <f>IF(OR(RawData[[#This Row],[AbsenceDays]]&gt;=4,RawData[[#This Row],[LateDays]]&gt;=3),"At Risk","OK")</f>
        <v>OK</v>
      </c>
      <c r="R102" t="str">
        <f>IF(RawData[[#This Row],[OvertimeHours]]&gt;10,"High","Normal")</f>
        <v>High</v>
      </c>
    </row>
    <row r="103" spans="1:18" x14ac:dyDescent="0.2">
      <c r="A103">
        <v>2101</v>
      </c>
      <c r="B103" t="s">
        <v>12</v>
      </c>
      <c r="C103" t="s">
        <v>13</v>
      </c>
      <c r="D103" t="s">
        <v>34</v>
      </c>
      <c r="E103" t="s">
        <v>15</v>
      </c>
      <c r="F103" t="s">
        <v>33</v>
      </c>
      <c r="G103" t="s">
        <v>17</v>
      </c>
      <c r="H103">
        <v>31</v>
      </c>
      <c r="I103">
        <v>0</v>
      </c>
      <c r="J103">
        <v>2</v>
      </c>
      <c r="K103">
        <v>0</v>
      </c>
      <c r="L103" s="1">
        <v>45916</v>
      </c>
      <c r="M103" t="str">
        <f>PROPER(TRIM(RawData[[#This Row],[ShiftType]]))</f>
        <v>Weekend</v>
      </c>
      <c r="N103">
        <f>VALUE(TRIM(RawData[[#This Row],[HoursWorked]]))</f>
        <v>31</v>
      </c>
      <c r="O103" s="1">
        <f>IF(ISNUMBER(RawData[[#This Row],[StartDate]]),RawData[[#This Row],[StartDate]],DATEVALUE(RawData[[#This Row],[StartDate]]))</f>
        <v>45916</v>
      </c>
      <c r="P103" t="str">
        <f>IF(RawData[[#This Row],[HoursWorked_Clean]]&gt;=40,"Full-time","Part-time")</f>
        <v>Part-time</v>
      </c>
      <c r="Q103" t="str">
        <f>IF(OR(RawData[[#This Row],[AbsenceDays]]&gt;=4,RawData[[#This Row],[LateDays]]&gt;=3),"At Risk","OK")</f>
        <v>OK</v>
      </c>
      <c r="R103" t="str">
        <f>IF(RawData[[#This Row],[OvertimeHours]]&gt;10,"High","Normal")</f>
        <v>Normal</v>
      </c>
    </row>
    <row r="104" spans="1:18" x14ac:dyDescent="0.2">
      <c r="A104">
        <v>2102</v>
      </c>
      <c r="B104" t="s">
        <v>36</v>
      </c>
      <c r="C104" t="s">
        <v>37</v>
      </c>
      <c r="D104" t="s">
        <v>20</v>
      </c>
      <c r="E104" t="s">
        <v>30</v>
      </c>
      <c r="F104" t="s">
        <v>24</v>
      </c>
      <c r="G104" t="s">
        <v>28</v>
      </c>
      <c r="H104">
        <v>45</v>
      </c>
      <c r="I104">
        <v>5</v>
      </c>
      <c r="J104">
        <v>0</v>
      </c>
      <c r="K104">
        <v>1</v>
      </c>
      <c r="L104" s="1">
        <v>45903</v>
      </c>
      <c r="M104" t="str">
        <f>PROPER(TRIM(RawData[[#This Row],[ShiftType]]))</f>
        <v>Day</v>
      </c>
      <c r="N104">
        <f>VALUE(TRIM(RawData[[#This Row],[HoursWorked]]))</f>
        <v>45</v>
      </c>
      <c r="O104" s="1">
        <f>IF(ISNUMBER(RawData[[#This Row],[StartDate]]),RawData[[#This Row],[StartDate]],DATEVALUE(RawData[[#This Row],[StartDate]]))</f>
        <v>45903</v>
      </c>
      <c r="P104" t="str">
        <f>IF(RawData[[#This Row],[HoursWorked_Clean]]&gt;=40,"Full-time","Part-time")</f>
        <v>Full-time</v>
      </c>
      <c r="Q104" t="str">
        <f>IF(OR(RawData[[#This Row],[AbsenceDays]]&gt;=4,RawData[[#This Row],[LateDays]]&gt;=3),"At Risk","OK")</f>
        <v>OK</v>
      </c>
      <c r="R104" t="str">
        <f>IF(RawData[[#This Row],[OvertimeHours]]&gt;10,"High","Normal")</f>
        <v>Normal</v>
      </c>
    </row>
    <row r="105" spans="1:18" x14ac:dyDescent="0.2">
      <c r="A105">
        <v>2103</v>
      </c>
      <c r="B105" t="s">
        <v>12</v>
      </c>
      <c r="C105" t="s">
        <v>13</v>
      </c>
      <c r="D105" t="s">
        <v>20</v>
      </c>
      <c r="E105" t="s">
        <v>30</v>
      </c>
      <c r="F105" t="s">
        <v>16</v>
      </c>
      <c r="G105" t="s">
        <v>28</v>
      </c>
      <c r="H105">
        <v>36</v>
      </c>
      <c r="I105">
        <v>0</v>
      </c>
      <c r="J105">
        <v>1</v>
      </c>
      <c r="K105">
        <v>0</v>
      </c>
      <c r="L105" s="1">
        <v>45930</v>
      </c>
      <c r="M105" t="str">
        <f>PROPER(TRIM(RawData[[#This Row],[ShiftType]]))</f>
        <v>Night</v>
      </c>
      <c r="N105">
        <f>VALUE(TRIM(RawData[[#This Row],[HoursWorked]]))</f>
        <v>36</v>
      </c>
      <c r="O105" s="1">
        <f>IF(ISNUMBER(RawData[[#This Row],[StartDate]]),RawData[[#This Row],[StartDate]],DATEVALUE(RawData[[#This Row],[StartDate]]))</f>
        <v>45930</v>
      </c>
      <c r="P105" t="str">
        <f>IF(RawData[[#This Row],[HoursWorked_Clean]]&gt;=40,"Full-time","Part-time")</f>
        <v>Part-time</v>
      </c>
      <c r="Q105" t="str">
        <f>IF(OR(RawData[[#This Row],[AbsenceDays]]&gt;=4,RawData[[#This Row],[LateDays]]&gt;=3),"At Risk","OK")</f>
        <v>OK</v>
      </c>
      <c r="R105" t="str">
        <f>IF(RawData[[#This Row],[OvertimeHours]]&gt;10,"High","Normal")</f>
        <v>Normal</v>
      </c>
    </row>
    <row r="106" spans="1:18" x14ac:dyDescent="0.2">
      <c r="A106">
        <v>2104</v>
      </c>
      <c r="B106" t="s">
        <v>18</v>
      </c>
      <c r="C106" t="s">
        <v>19</v>
      </c>
      <c r="D106" t="s">
        <v>20</v>
      </c>
      <c r="E106" t="s">
        <v>35</v>
      </c>
      <c r="F106" t="s">
        <v>16</v>
      </c>
      <c r="G106" t="s">
        <v>28</v>
      </c>
      <c r="H106">
        <v>45</v>
      </c>
      <c r="I106">
        <v>6</v>
      </c>
      <c r="J106">
        <v>3</v>
      </c>
      <c r="K106">
        <v>1</v>
      </c>
      <c r="L106" s="1">
        <v>45916</v>
      </c>
      <c r="M106" t="str">
        <f>PROPER(TRIM(RawData[[#This Row],[ShiftType]]))</f>
        <v>Night</v>
      </c>
      <c r="N106">
        <f>VALUE(TRIM(RawData[[#This Row],[HoursWorked]]))</f>
        <v>45</v>
      </c>
      <c r="O106" s="1">
        <f>IF(ISNUMBER(RawData[[#This Row],[StartDate]]),RawData[[#This Row],[StartDate]],DATEVALUE(RawData[[#This Row],[StartDate]]))</f>
        <v>45916</v>
      </c>
      <c r="P106" t="str">
        <f>IF(RawData[[#This Row],[HoursWorked_Clean]]&gt;=40,"Full-time","Part-time")</f>
        <v>Full-time</v>
      </c>
      <c r="Q106" t="str">
        <f>IF(OR(RawData[[#This Row],[AbsenceDays]]&gt;=4,RawData[[#This Row],[LateDays]]&gt;=3),"At Risk","OK")</f>
        <v>OK</v>
      </c>
      <c r="R106" t="str">
        <f>IF(RawData[[#This Row],[OvertimeHours]]&gt;10,"High","Normal")</f>
        <v>Normal</v>
      </c>
    </row>
    <row r="107" spans="1:18" x14ac:dyDescent="0.2">
      <c r="A107">
        <v>2105</v>
      </c>
      <c r="B107" t="s">
        <v>18</v>
      </c>
      <c r="C107" t="s">
        <v>19</v>
      </c>
      <c r="D107" t="s">
        <v>27</v>
      </c>
      <c r="E107" t="s">
        <v>23</v>
      </c>
      <c r="F107" t="s">
        <v>24</v>
      </c>
      <c r="G107" t="s">
        <v>17</v>
      </c>
      <c r="H107">
        <v>52</v>
      </c>
      <c r="I107">
        <v>12</v>
      </c>
      <c r="J107">
        <v>3</v>
      </c>
      <c r="K107">
        <v>0</v>
      </c>
      <c r="L107" s="1">
        <v>45983</v>
      </c>
      <c r="M107" t="str">
        <f>PROPER(TRIM(RawData[[#This Row],[ShiftType]]))</f>
        <v>Day</v>
      </c>
      <c r="N107">
        <f>VALUE(TRIM(RawData[[#This Row],[HoursWorked]]))</f>
        <v>52</v>
      </c>
      <c r="O107" s="1">
        <f>IF(ISNUMBER(RawData[[#This Row],[StartDate]]),RawData[[#This Row],[StartDate]],DATEVALUE(RawData[[#This Row],[StartDate]]))</f>
        <v>45983</v>
      </c>
      <c r="P107" t="str">
        <f>IF(RawData[[#This Row],[HoursWorked_Clean]]&gt;=40,"Full-time","Part-time")</f>
        <v>Full-time</v>
      </c>
      <c r="Q107" t="str">
        <f>IF(OR(RawData[[#This Row],[AbsenceDays]]&gt;=4,RawData[[#This Row],[LateDays]]&gt;=3),"At Risk","OK")</f>
        <v>OK</v>
      </c>
      <c r="R107" t="str">
        <f>IF(RawData[[#This Row],[OvertimeHours]]&gt;10,"High","Normal")</f>
        <v>High</v>
      </c>
    </row>
    <row r="108" spans="1:18" x14ac:dyDescent="0.2">
      <c r="A108">
        <v>2106</v>
      </c>
      <c r="B108" t="s">
        <v>31</v>
      </c>
      <c r="C108" t="s">
        <v>22</v>
      </c>
      <c r="D108" t="s">
        <v>14</v>
      </c>
      <c r="E108" t="s">
        <v>23</v>
      </c>
      <c r="F108" t="s">
        <v>33</v>
      </c>
      <c r="G108" t="s">
        <v>17</v>
      </c>
      <c r="H108">
        <v>54</v>
      </c>
      <c r="I108">
        <v>14</v>
      </c>
      <c r="J108">
        <v>1</v>
      </c>
      <c r="K108">
        <v>2</v>
      </c>
      <c r="L108" s="1">
        <v>45927</v>
      </c>
      <c r="M108" t="str">
        <f>PROPER(TRIM(RawData[[#This Row],[ShiftType]]))</f>
        <v>Weekend</v>
      </c>
      <c r="N108">
        <f>VALUE(TRIM(RawData[[#This Row],[HoursWorked]]))</f>
        <v>54</v>
      </c>
      <c r="O108" s="1">
        <f>IF(ISNUMBER(RawData[[#This Row],[StartDate]]),RawData[[#This Row],[StartDate]],DATEVALUE(RawData[[#This Row],[StartDate]]))</f>
        <v>45927</v>
      </c>
      <c r="P108" t="str">
        <f>IF(RawData[[#This Row],[HoursWorked_Clean]]&gt;=40,"Full-time","Part-time")</f>
        <v>Full-time</v>
      </c>
      <c r="Q108" t="str">
        <f>IF(OR(RawData[[#This Row],[AbsenceDays]]&gt;=4,RawData[[#This Row],[LateDays]]&gt;=3),"At Risk","OK")</f>
        <v>OK</v>
      </c>
      <c r="R108" t="str">
        <f>IF(RawData[[#This Row],[OvertimeHours]]&gt;10,"High","Normal")</f>
        <v>High</v>
      </c>
    </row>
    <row r="109" spans="1:18" x14ac:dyDescent="0.2">
      <c r="A109">
        <v>2107</v>
      </c>
      <c r="B109" t="s">
        <v>31</v>
      </c>
      <c r="C109" t="s">
        <v>22</v>
      </c>
      <c r="D109" t="s">
        <v>14</v>
      </c>
      <c r="E109" t="s">
        <v>32</v>
      </c>
      <c r="F109" t="s">
        <v>24</v>
      </c>
      <c r="G109" t="s">
        <v>17</v>
      </c>
      <c r="H109">
        <v>40</v>
      </c>
      <c r="I109">
        <v>0</v>
      </c>
      <c r="J109">
        <v>0</v>
      </c>
      <c r="K109">
        <v>4</v>
      </c>
      <c r="L109" s="1">
        <v>45933</v>
      </c>
      <c r="M109" t="str">
        <f>PROPER(TRIM(RawData[[#This Row],[ShiftType]]))</f>
        <v>Day</v>
      </c>
      <c r="N109">
        <f>VALUE(TRIM(RawData[[#This Row],[HoursWorked]]))</f>
        <v>40</v>
      </c>
      <c r="O109" s="1">
        <f>IF(ISNUMBER(RawData[[#This Row],[StartDate]]),RawData[[#This Row],[StartDate]],DATEVALUE(RawData[[#This Row],[StartDate]]))</f>
        <v>45933</v>
      </c>
      <c r="P109" t="str">
        <f>IF(RawData[[#This Row],[HoursWorked_Clean]]&gt;=40,"Full-time","Part-time")</f>
        <v>Full-time</v>
      </c>
      <c r="Q109" t="str">
        <f>IF(OR(RawData[[#This Row],[AbsenceDays]]&gt;=4,RawData[[#This Row],[LateDays]]&gt;=3),"At Risk","OK")</f>
        <v>At Risk</v>
      </c>
      <c r="R109" t="str">
        <f>IF(RawData[[#This Row],[OvertimeHours]]&gt;10,"High","Normal")</f>
        <v>Normal</v>
      </c>
    </row>
    <row r="110" spans="1:18" x14ac:dyDescent="0.2">
      <c r="A110">
        <v>2108</v>
      </c>
      <c r="B110" t="s">
        <v>21</v>
      </c>
      <c r="C110" t="s">
        <v>22</v>
      </c>
      <c r="D110" t="s">
        <v>27</v>
      </c>
      <c r="E110" t="s">
        <v>15</v>
      </c>
      <c r="F110" t="s">
        <v>24</v>
      </c>
      <c r="G110" t="s">
        <v>28</v>
      </c>
      <c r="H110">
        <v>37</v>
      </c>
      <c r="I110">
        <v>0</v>
      </c>
      <c r="J110">
        <v>4</v>
      </c>
      <c r="K110">
        <v>3</v>
      </c>
      <c r="L110" s="1">
        <v>45985</v>
      </c>
      <c r="M110" t="str">
        <f>PROPER(TRIM(RawData[[#This Row],[ShiftType]]))</f>
        <v>Day</v>
      </c>
      <c r="N110">
        <f>VALUE(TRIM(RawData[[#This Row],[HoursWorked]]))</f>
        <v>37</v>
      </c>
      <c r="O110" s="1">
        <f>IF(ISNUMBER(RawData[[#This Row],[StartDate]]),RawData[[#This Row],[StartDate]],DATEVALUE(RawData[[#This Row],[StartDate]]))</f>
        <v>45985</v>
      </c>
      <c r="P110" t="str">
        <f>IF(RawData[[#This Row],[HoursWorked_Clean]]&gt;=40,"Full-time","Part-time")</f>
        <v>Part-time</v>
      </c>
      <c r="Q110" t="str">
        <f>IF(OR(RawData[[#This Row],[AbsenceDays]]&gt;=4,RawData[[#This Row],[LateDays]]&gt;=3),"At Risk","OK")</f>
        <v>At Risk</v>
      </c>
      <c r="R110" t="str">
        <f>IF(RawData[[#This Row],[OvertimeHours]]&gt;10,"High","Normal")</f>
        <v>Normal</v>
      </c>
    </row>
    <row r="111" spans="1:18" x14ac:dyDescent="0.2">
      <c r="A111">
        <v>2109</v>
      </c>
      <c r="B111" t="s">
        <v>12</v>
      </c>
      <c r="C111" t="s">
        <v>13</v>
      </c>
      <c r="D111" t="s">
        <v>14</v>
      </c>
      <c r="E111" t="s">
        <v>32</v>
      </c>
      <c r="F111" t="s">
        <v>24</v>
      </c>
      <c r="G111" t="s">
        <v>28</v>
      </c>
      <c r="H111">
        <v>45</v>
      </c>
      <c r="I111">
        <v>5</v>
      </c>
      <c r="J111">
        <v>5</v>
      </c>
      <c r="K111">
        <v>3</v>
      </c>
      <c r="L111" s="1">
        <v>45915</v>
      </c>
      <c r="M111" t="str">
        <f>PROPER(TRIM(RawData[[#This Row],[ShiftType]]))</f>
        <v>Day</v>
      </c>
      <c r="N111">
        <f>VALUE(TRIM(RawData[[#This Row],[HoursWorked]]))</f>
        <v>45</v>
      </c>
      <c r="O111" s="1">
        <f>IF(ISNUMBER(RawData[[#This Row],[StartDate]]),RawData[[#This Row],[StartDate]],DATEVALUE(RawData[[#This Row],[StartDate]]))</f>
        <v>45915</v>
      </c>
      <c r="P111" t="str">
        <f>IF(RawData[[#This Row],[HoursWorked_Clean]]&gt;=40,"Full-time","Part-time")</f>
        <v>Full-time</v>
      </c>
      <c r="Q111" t="str">
        <f>IF(OR(RawData[[#This Row],[AbsenceDays]]&gt;=4,RawData[[#This Row],[LateDays]]&gt;=3),"At Risk","OK")</f>
        <v>At Risk</v>
      </c>
      <c r="R111" t="str">
        <f>IF(RawData[[#This Row],[OvertimeHours]]&gt;10,"High","Normal")</f>
        <v>Normal</v>
      </c>
    </row>
    <row r="112" spans="1:18" x14ac:dyDescent="0.2">
      <c r="A112">
        <v>2110</v>
      </c>
      <c r="B112" t="s">
        <v>31</v>
      </c>
      <c r="C112" t="s">
        <v>22</v>
      </c>
      <c r="D112" t="s">
        <v>20</v>
      </c>
      <c r="E112" t="s">
        <v>23</v>
      </c>
      <c r="F112" t="s">
        <v>24</v>
      </c>
      <c r="G112" t="s">
        <v>17</v>
      </c>
      <c r="H112">
        <v>35</v>
      </c>
      <c r="I112">
        <v>0</v>
      </c>
      <c r="J112">
        <v>1</v>
      </c>
      <c r="K112">
        <v>4</v>
      </c>
      <c r="L112" s="1">
        <v>45935</v>
      </c>
      <c r="M112" t="str">
        <f>PROPER(TRIM(RawData[[#This Row],[ShiftType]]))</f>
        <v>Day</v>
      </c>
      <c r="N112">
        <f>VALUE(TRIM(RawData[[#This Row],[HoursWorked]]))</f>
        <v>35</v>
      </c>
      <c r="O112" s="1">
        <f>IF(ISNUMBER(RawData[[#This Row],[StartDate]]),RawData[[#This Row],[StartDate]],DATEVALUE(RawData[[#This Row],[StartDate]]))</f>
        <v>45935</v>
      </c>
      <c r="P112" t="str">
        <f>IF(RawData[[#This Row],[HoursWorked_Clean]]&gt;=40,"Full-time","Part-time")</f>
        <v>Part-time</v>
      </c>
      <c r="Q112" t="str">
        <f>IF(OR(RawData[[#This Row],[AbsenceDays]]&gt;=4,RawData[[#This Row],[LateDays]]&gt;=3),"At Risk","OK")</f>
        <v>At Risk</v>
      </c>
      <c r="R112" t="str">
        <f>IF(RawData[[#This Row],[OvertimeHours]]&gt;10,"High","Normal")</f>
        <v>Normal</v>
      </c>
    </row>
    <row r="113" spans="1:18" x14ac:dyDescent="0.2">
      <c r="A113">
        <v>2111</v>
      </c>
      <c r="B113" t="s">
        <v>25</v>
      </c>
      <c r="C113" t="s">
        <v>26</v>
      </c>
      <c r="D113" t="s">
        <v>20</v>
      </c>
      <c r="E113" t="s">
        <v>35</v>
      </c>
      <c r="F113" t="s">
        <v>33</v>
      </c>
      <c r="G113" t="s">
        <v>17</v>
      </c>
      <c r="H113">
        <v>49</v>
      </c>
      <c r="I113">
        <v>9</v>
      </c>
      <c r="J113">
        <v>2</v>
      </c>
      <c r="K113">
        <v>2</v>
      </c>
      <c r="L113" s="1">
        <v>45986</v>
      </c>
      <c r="M113" t="str">
        <f>PROPER(TRIM(RawData[[#This Row],[ShiftType]]))</f>
        <v>Weekend</v>
      </c>
      <c r="N113">
        <f>VALUE(TRIM(RawData[[#This Row],[HoursWorked]]))</f>
        <v>49</v>
      </c>
      <c r="O113" s="1">
        <f>IF(ISNUMBER(RawData[[#This Row],[StartDate]]),RawData[[#This Row],[StartDate]],DATEVALUE(RawData[[#This Row],[StartDate]]))</f>
        <v>45986</v>
      </c>
      <c r="P113" t="str">
        <f>IF(RawData[[#This Row],[HoursWorked_Clean]]&gt;=40,"Full-time","Part-time")</f>
        <v>Full-time</v>
      </c>
      <c r="Q113" t="str">
        <f>IF(OR(RawData[[#This Row],[AbsenceDays]]&gt;=4,RawData[[#This Row],[LateDays]]&gt;=3),"At Risk","OK")</f>
        <v>OK</v>
      </c>
      <c r="R113" t="str">
        <f>IF(RawData[[#This Row],[OvertimeHours]]&gt;10,"High","Normal")</f>
        <v>Normal</v>
      </c>
    </row>
    <row r="114" spans="1:18" x14ac:dyDescent="0.2">
      <c r="A114">
        <v>2112</v>
      </c>
      <c r="B114" t="s">
        <v>25</v>
      </c>
      <c r="C114" t="s">
        <v>26</v>
      </c>
      <c r="D114" t="s">
        <v>34</v>
      </c>
      <c r="E114" t="s">
        <v>30</v>
      </c>
      <c r="F114" t="s">
        <v>16</v>
      </c>
      <c r="G114" t="s">
        <v>17</v>
      </c>
      <c r="H114">
        <v>44</v>
      </c>
      <c r="I114">
        <v>4</v>
      </c>
      <c r="J114">
        <v>0</v>
      </c>
      <c r="K114">
        <v>4</v>
      </c>
      <c r="L114" s="1">
        <v>45931</v>
      </c>
      <c r="M114" t="str">
        <f>PROPER(TRIM(RawData[[#This Row],[ShiftType]]))</f>
        <v>Night</v>
      </c>
      <c r="N114">
        <f>VALUE(TRIM(RawData[[#This Row],[HoursWorked]]))</f>
        <v>44</v>
      </c>
      <c r="O114" s="1">
        <f>IF(ISNUMBER(RawData[[#This Row],[StartDate]]),RawData[[#This Row],[StartDate]],DATEVALUE(RawData[[#This Row],[StartDate]]))</f>
        <v>45931</v>
      </c>
      <c r="P114" t="str">
        <f>IF(RawData[[#This Row],[HoursWorked_Clean]]&gt;=40,"Full-time","Part-time")</f>
        <v>Full-time</v>
      </c>
      <c r="Q114" t="str">
        <f>IF(OR(RawData[[#This Row],[AbsenceDays]]&gt;=4,RawData[[#This Row],[LateDays]]&gt;=3),"At Risk","OK")</f>
        <v>At Risk</v>
      </c>
      <c r="R114" t="str">
        <f>IF(RawData[[#This Row],[OvertimeHours]]&gt;10,"High","Normal")</f>
        <v>Normal</v>
      </c>
    </row>
    <row r="115" spans="1:18" x14ac:dyDescent="0.2">
      <c r="A115">
        <v>2113</v>
      </c>
      <c r="B115" t="s">
        <v>12</v>
      </c>
      <c r="C115" t="s">
        <v>13</v>
      </c>
      <c r="D115" t="s">
        <v>20</v>
      </c>
      <c r="E115" t="s">
        <v>15</v>
      </c>
      <c r="F115" t="s">
        <v>24</v>
      </c>
      <c r="G115" t="s">
        <v>17</v>
      </c>
      <c r="H115">
        <v>47</v>
      </c>
      <c r="I115">
        <v>7</v>
      </c>
      <c r="J115">
        <v>6</v>
      </c>
      <c r="K115">
        <v>2</v>
      </c>
      <c r="L115" s="1">
        <v>45962</v>
      </c>
      <c r="M115" t="str">
        <f>PROPER(TRIM(RawData[[#This Row],[ShiftType]]))</f>
        <v>Day</v>
      </c>
      <c r="N115">
        <f>VALUE(TRIM(RawData[[#This Row],[HoursWorked]]))</f>
        <v>47</v>
      </c>
      <c r="O115" s="1">
        <f>IF(ISNUMBER(RawData[[#This Row],[StartDate]]),RawData[[#This Row],[StartDate]],DATEVALUE(RawData[[#This Row],[StartDate]]))</f>
        <v>45962</v>
      </c>
      <c r="P115" t="str">
        <f>IF(RawData[[#This Row],[HoursWorked_Clean]]&gt;=40,"Full-time","Part-time")</f>
        <v>Full-time</v>
      </c>
      <c r="Q115" t="str">
        <f>IF(OR(RawData[[#This Row],[AbsenceDays]]&gt;=4,RawData[[#This Row],[LateDays]]&gt;=3),"At Risk","OK")</f>
        <v>At Risk</v>
      </c>
      <c r="R115" t="str">
        <f>IF(RawData[[#This Row],[OvertimeHours]]&gt;10,"High","Normal")</f>
        <v>Normal</v>
      </c>
    </row>
    <row r="116" spans="1:18" x14ac:dyDescent="0.2">
      <c r="A116">
        <v>2114</v>
      </c>
      <c r="B116" t="s">
        <v>12</v>
      </c>
      <c r="C116" t="s">
        <v>13</v>
      </c>
      <c r="D116" t="s">
        <v>34</v>
      </c>
      <c r="E116" t="s">
        <v>35</v>
      </c>
      <c r="F116" t="s">
        <v>33</v>
      </c>
      <c r="G116" t="s">
        <v>17</v>
      </c>
      <c r="H116">
        <v>53</v>
      </c>
      <c r="I116">
        <v>13</v>
      </c>
      <c r="J116">
        <v>1</v>
      </c>
      <c r="K116">
        <v>4</v>
      </c>
      <c r="L116" s="1">
        <v>45959</v>
      </c>
      <c r="M116" t="str">
        <f>PROPER(TRIM(RawData[[#This Row],[ShiftType]]))</f>
        <v>Weekend</v>
      </c>
      <c r="N116">
        <f>VALUE(TRIM(RawData[[#This Row],[HoursWorked]]))</f>
        <v>53</v>
      </c>
      <c r="O116" s="1">
        <f>IF(ISNUMBER(RawData[[#This Row],[StartDate]]),RawData[[#This Row],[StartDate]],DATEVALUE(RawData[[#This Row],[StartDate]]))</f>
        <v>45959</v>
      </c>
      <c r="P116" t="str">
        <f>IF(RawData[[#This Row],[HoursWorked_Clean]]&gt;=40,"Full-time","Part-time")</f>
        <v>Full-time</v>
      </c>
      <c r="Q116" t="str">
        <f>IF(OR(RawData[[#This Row],[AbsenceDays]]&gt;=4,RawData[[#This Row],[LateDays]]&gt;=3),"At Risk","OK")</f>
        <v>At Risk</v>
      </c>
      <c r="R116" t="str">
        <f>IF(RawData[[#This Row],[OvertimeHours]]&gt;10,"High","Normal")</f>
        <v>High</v>
      </c>
    </row>
    <row r="117" spans="1:18" x14ac:dyDescent="0.2">
      <c r="A117">
        <v>2115</v>
      </c>
      <c r="B117" t="s">
        <v>21</v>
      </c>
      <c r="C117" t="s">
        <v>22</v>
      </c>
      <c r="D117" t="s">
        <v>20</v>
      </c>
      <c r="E117" t="s">
        <v>15</v>
      </c>
      <c r="F117" t="s">
        <v>24</v>
      </c>
      <c r="G117" t="s">
        <v>17</v>
      </c>
      <c r="H117">
        <v>40</v>
      </c>
      <c r="I117">
        <v>0</v>
      </c>
      <c r="J117">
        <v>3</v>
      </c>
      <c r="K117">
        <v>1</v>
      </c>
      <c r="L117" s="1">
        <v>45983</v>
      </c>
      <c r="M117" t="str">
        <f>PROPER(TRIM(RawData[[#This Row],[ShiftType]]))</f>
        <v>Day</v>
      </c>
      <c r="N117">
        <f>VALUE(TRIM(RawData[[#This Row],[HoursWorked]]))</f>
        <v>40</v>
      </c>
      <c r="O117" s="1">
        <f>IF(ISNUMBER(RawData[[#This Row],[StartDate]]),RawData[[#This Row],[StartDate]],DATEVALUE(RawData[[#This Row],[StartDate]]))</f>
        <v>45983</v>
      </c>
      <c r="P117" t="str">
        <f>IF(RawData[[#This Row],[HoursWorked_Clean]]&gt;=40,"Full-time","Part-time")</f>
        <v>Full-time</v>
      </c>
      <c r="Q117" t="str">
        <f>IF(OR(RawData[[#This Row],[AbsenceDays]]&gt;=4,RawData[[#This Row],[LateDays]]&gt;=3),"At Risk","OK")</f>
        <v>OK</v>
      </c>
      <c r="R117" t="str">
        <f>IF(RawData[[#This Row],[OvertimeHours]]&gt;10,"High","Normal")</f>
        <v>Normal</v>
      </c>
    </row>
    <row r="118" spans="1:18" x14ac:dyDescent="0.2">
      <c r="A118">
        <v>2116</v>
      </c>
      <c r="B118" t="s">
        <v>21</v>
      </c>
      <c r="C118" t="s">
        <v>22</v>
      </c>
      <c r="D118" t="s">
        <v>20</v>
      </c>
      <c r="E118" t="s">
        <v>30</v>
      </c>
      <c r="F118" t="s">
        <v>33</v>
      </c>
      <c r="G118" t="s">
        <v>17</v>
      </c>
      <c r="H118">
        <v>55</v>
      </c>
      <c r="I118">
        <v>15</v>
      </c>
      <c r="J118">
        <v>2</v>
      </c>
      <c r="K118">
        <v>3</v>
      </c>
      <c r="L118" s="1">
        <v>45947</v>
      </c>
      <c r="M118" t="str">
        <f>PROPER(TRIM(RawData[[#This Row],[ShiftType]]))</f>
        <v>Weekend</v>
      </c>
      <c r="N118">
        <f>VALUE(TRIM(RawData[[#This Row],[HoursWorked]]))</f>
        <v>55</v>
      </c>
      <c r="O118" s="1">
        <f>IF(ISNUMBER(RawData[[#This Row],[StartDate]]),RawData[[#This Row],[StartDate]],DATEVALUE(RawData[[#This Row],[StartDate]]))</f>
        <v>45947</v>
      </c>
      <c r="P118" t="str">
        <f>IF(RawData[[#This Row],[HoursWorked_Clean]]&gt;=40,"Full-time","Part-time")</f>
        <v>Full-time</v>
      </c>
      <c r="Q118" t="str">
        <f>IF(OR(RawData[[#This Row],[AbsenceDays]]&gt;=4,RawData[[#This Row],[LateDays]]&gt;=3),"At Risk","OK")</f>
        <v>At Risk</v>
      </c>
      <c r="R118" t="str">
        <f>IF(RawData[[#This Row],[OvertimeHours]]&gt;10,"High","Normal")</f>
        <v>High</v>
      </c>
    </row>
    <row r="119" spans="1:18" x14ac:dyDescent="0.2">
      <c r="A119">
        <v>2117</v>
      </c>
      <c r="B119" t="s">
        <v>36</v>
      </c>
      <c r="C119" t="s">
        <v>37</v>
      </c>
      <c r="D119" t="s">
        <v>20</v>
      </c>
      <c r="E119" t="s">
        <v>30</v>
      </c>
      <c r="F119" t="s">
        <v>24</v>
      </c>
      <c r="G119" t="s">
        <v>28</v>
      </c>
      <c r="H119">
        <v>40</v>
      </c>
      <c r="I119">
        <v>0</v>
      </c>
      <c r="J119">
        <v>4</v>
      </c>
      <c r="K119">
        <v>4</v>
      </c>
      <c r="L119" s="1">
        <v>45904</v>
      </c>
      <c r="M119" t="str">
        <f>PROPER(TRIM(RawData[[#This Row],[ShiftType]]))</f>
        <v>Day</v>
      </c>
      <c r="N119">
        <f>VALUE(TRIM(RawData[[#This Row],[HoursWorked]]))</f>
        <v>40</v>
      </c>
      <c r="O119" s="1">
        <f>IF(ISNUMBER(RawData[[#This Row],[StartDate]]),RawData[[#This Row],[StartDate]],DATEVALUE(RawData[[#This Row],[StartDate]]))</f>
        <v>45904</v>
      </c>
      <c r="P119" t="str">
        <f>IF(RawData[[#This Row],[HoursWorked_Clean]]&gt;=40,"Full-time","Part-time")</f>
        <v>Full-time</v>
      </c>
      <c r="Q119" t="str">
        <f>IF(OR(RawData[[#This Row],[AbsenceDays]]&gt;=4,RawData[[#This Row],[LateDays]]&gt;=3),"At Risk","OK")</f>
        <v>At Risk</v>
      </c>
      <c r="R119" t="str">
        <f>IF(RawData[[#This Row],[OvertimeHours]]&gt;10,"High","Normal")</f>
        <v>Normal</v>
      </c>
    </row>
    <row r="120" spans="1:18" x14ac:dyDescent="0.2">
      <c r="A120">
        <v>2118</v>
      </c>
      <c r="B120" t="s">
        <v>36</v>
      </c>
      <c r="C120" t="s">
        <v>37</v>
      </c>
      <c r="D120" t="s">
        <v>27</v>
      </c>
      <c r="E120" t="s">
        <v>30</v>
      </c>
      <c r="F120" t="s">
        <v>24</v>
      </c>
      <c r="G120" t="s">
        <v>28</v>
      </c>
      <c r="H120">
        <v>48</v>
      </c>
      <c r="I120">
        <v>8</v>
      </c>
      <c r="J120">
        <v>3</v>
      </c>
      <c r="K120">
        <v>3</v>
      </c>
      <c r="L120" s="1">
        <v>45935</v>
      </c>
      <c r="M120" t="str">
        <f>PROPER(TRIM(RawData[[#This Row],[ShiftType]]))</f>
        <v>Day</v>
      </c>
      <c r="N120">
        <f>VALUE(TRIM(RawData[[#This Row],[HoursWorked]]))</f>
        <v>48</v>
      </c>
      <c r="O120" s="1">
        <f>IF(ISNUMBER(RawData[[#This Row],[StartDate]]),RawData[[#This Row],[StartDate]],DATEVALUE(RawData[[#This Row],[StartDate]]))</f>
        <v>45935</v>
      </c>
      <c r="P120" t="str">
        <f>IF(RawData[[#This Row],[HoursWorked_Clean]]&gt;=40,"Full-time","Part-time")</f>
        <v>Full-time</v>
      </c>
      <c r="Q120" t="str">
        <f>IF(OR(RawData[[#This Row],[AbsenceDays]]&gt;=4,RawData[[#This Row],[LateDays]]&gt;=3),"At Risk","OK")</f>
        <v>At Risk</v>
      </c>
      <c r="R120" t="str">
        <f>IF(RawData[[#This Row],[OvertimeHours]]&gt;10,"High","Normal")</f>
        <v>Normal</v>
      </c>
    </row>
    <row r="121" spans="1:18" x14ac:dyDescent="0.2">
      <c r="A121">
        <v>2119</v>
      </c>
      <c r="B121" t="s">
        <v>31</v>
      </c>
      <c r="C121" t="s">
        <v>22</v>
      </c>
      <c r="D121" t="s">
        <v>27</v>
      </c>
      <c r="E121" t="s">
        <v>23</v>
      </c>
      <c r="F121" t="s">
        <v>24</v>
      </c>
      <c r="G121" t="s">
        <v>28</v>
      </c>
      <c r="H121">
        <v>51</v>
      </c>
      <c r="I121">
        <v>11</v>
      </c>
      <c r="J121">
        <v>0</v>
      </c>
      <c r="K121">
        <v>2</v>
      </c>
      <c r="L121" s="1">
        <v>45962</v>
      </c>
      <c r="M121" t="str">
        <f>PROPER(TRIM(RawData[[#This Row],[ShiftType]]))</f>
        <v>Day</v>
      </c>
      <c r="N121">
        <f>VALUE(TRIM(RawData[[#This Row],[HoursWorked]]))</f>
        <v>51</v>
      </c>
      <c r="O121" s="1">
        <f>IF(ISNUMBER(RawData[[#This Row],[StartDate]]),RawData[[#This Row],[StartDate]],DATEVALUE(RawData[[#This Row],[StartDate]]))</f>
        <v>45962</v>
      </c>
      <c r="P121" t="str">
        <f>IF(RawData[[#This Row],[HoursWorked_Clean]]&gt;=40,"Full-time","Part-time")</f>
        <v>Full-time</v>
      </c>
      <c r="Q121" t="str">
        <f>IF(OR(RawData[[#This Row],[AbsenceDays]]&gt;=4,RawData[[#This Row],[LateDays]]&gt;=3),"At Risk","OK")</f>
        <v>OK</v>
      </c>
      <c r="R121" t="str">
        <f>IF(RawData[[#This Row],[OvertimeHours]]&gt;10,"High","Normal")</f>
        <v>High</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F6D15-5A31-AE4C-A621-A056E994A57A}">
  <dimension ref="C1:K15"/>
  <sheetViews>
    <sheetView topLeftCell="A11" zoomScale="97" zoomScaleNormal="97" workbookViewId="0">
      <selection activeCell="D5" sqref="D5"/>
    </sheetView>
  </sheetViews>
  <sheetFormatPr baseColWidth="10" defaultRowHeight="16" x14ac:dyDescent="0.2"/>
  <cols>
    <col min="1" max="1" width="23.5" customWidth="1"/>
    <col min="2" max="2" width="13.1640625" customWidth="1"/>
    <col min="3" max="3" width="35" customWidth="1"/>
    <col min="7" max="7" width="1.33203125" customWidth="1"/>
    <col min="8" max="8" width="38.5" customWidth="1"/>
    <col min="9" max="9" width="15.5" customWidth="1"/>
  </cols>
  <sheetData>
    <row r="1" spans="3:11" ht="27" x14ac:dyDescent="0.35">
      <c r="E1" s="20"/>
      <c r="F1" s="20"/>
      <c r="G1" s="20"/>
      <c r="H1" s="20"/>
      <c r="I1" s="20"/>
      <c r="J1" s="20"/>
      <c r="K1" s="20"/>
    </row>
    <row r="2" spans="3:11" ht="27" x14ac:dyDescent="0.35">
      <c r="E2" s="20"/>
      <c r="F2" s="20"/>
      <c r="G2" s="20"/>
      <c r="H2" s="20"/>
      <c r="I2" s="20"/>
      <c r="J2" s="20"/>
      <c r="K2" s="20"/>
    </row>
    <row r="3" spans="3:11" ht="27" x14ac:dyDescent="0.35">
      <c r="C3" s="9" t="s">
        <v>51</v>
      </c>
      <c r="D3" s="21" t="s">
        <v>52</v>
      </c>
      <c r="E3" s="20"/>
      <c r="F3" s="20"/>
      <c r="G3" s="20"/>
      <c r="H3" s="20"/>
      <c r="I3" s="20"/>
      <c r="J3" s="20"/>
      <c r="K3" s="20"/>
    </row>
    <row r="4" spans="3:11" ht="27" x14ac:dyDescent="0.35">
      <c r="C4" s="20" t="s">
        <v>45</v>
      </c>
      <c r="D4" s="22">
        <f>COUNTA(RawData[StaffID])</f>
        <v>120</v>
      </c>
      <c r="E4" s="20"/>
      <c r="F4" s="20"/>
      <c r="G4" s="20"/>
      <c r="K4" s="20"/>
    </row>
    <row r="5" spans="3:11" ht="27" x14ac:dyDescent="0.35">
      <c r="C5" s="20" t="s">
        <v>46</v>
      </c>
      <c r="D5" s="20">
        <f>COUNTIF(RawData[RiskFlag],"At Risk")</f>
        <v>68</v>
      </c>
      <c r="E5" s="20"/>
      <c r="F5" s="20"/>
      <c r="G5" s="20"/>
      <c r="K5" s="20"/>
    </row>
    <row r="6" spans="3:11" ht="27" x14ac:dyDescent="0.35">
      <c r="C6" s="20" t="s">
        <v>47</v>
      </c>
      <c r="D6" s="20">
        <f>SUM(RawData[OvertimeHours])</f>
        <v>870</v>
      </c>
      <c r="E6" s="20"/>
      <c r="F6" s="20"/>
      <c r="G6" s="20"/>
      <c r="K6" s="20"/>
    </row>
    <row r="7" spans="3:11" ht="27" x14ac:dyDescent="0.35">
      <c r="C7" s="20" t="s">
        <v>48</v>
      </c>
      <c r="D7" s="24">
        <f>AVERAGE(RawData[AbsenceDays])</f>
        <v>2.6916666666666669</v>
      </c>
      <c r="E7" s="20"/>
      <c r="F7" s="20"/>
      <c r="G7" s="20"/>
      <c r="K7" s="20"/>
    </row>
    <row r="8" spans="3:11" ht="27" x14ac:dyDescent="0.35">
      <c r="C8" s="20" t="s">
        <v>49</v>
      </c>
      <c r="D8" s="20">
        <f>COUNTIF(RawData[OvertimeLevel],"High")</f>
        <v>38</v>
      </c>
      <c r="E8" s="20"/>
      <c r="F8" s="20"/>
      <c r="G8" s="20"/>
      <c r="K8" s="20"/>
    </row>
    <row r="9" spans="3:11" ht="27" x14ac:dyDescent="0.35">
      <c r="C9" s="20" t="s">
        <v>53</v>
      </c>
      <c r="D9" s="20">
        <f>AVERAGE(RawData[HoursWorked_Clean])</f>
        <v>45.8</v>
      </c>
      <c r="E9" s="20"/>
      <c r="F9" s="20"/>
      <c r="G9" s="20"/>
      <c r="K9" s="20"/>
    </row>
    <row r="10" spans="3:11" ht="27" x14ac:dyDescent="0.35">
      <c r="C10" s="20" t="s">
        <v>70</v>
      </c>
      <c r="D10" s="23">
        <f>COUNTIF(RawData[RiskFlag],"At Risk") / COUNTA(RawData[StaffID])</f>
        <v>0.56666666666666665</v>
      </c>
      <c r="E10" s="20"/>
      <c r="F10" s="20"/>
      <c r="G10" s="20"/>
      <c r="K10" s="20"/>
    </row>
    <row r="11" spans="3:11" ht="27" x14ac:dyDescent="0.35">
      <c r="C11" s="20"/>
      <c r="D11" s="20"/>
      <c r="E11" s="20"/>
      <c r="F11" s="20"/>
      <c r="G11" s="20"/>
      <c r="K11" s="20"/>
    </row>
    <row r="12" spans="3:11" ht="27" x14ac:dyDescent="0.35">
      <c r="E12" s="20"/>
      <c r="F12" s="20"/>
      <c r="G12" s="20"/>
      <c r="K12" s="20"/>
    </row>
    <row r="13" spans="3:11" ht="27" x14ac:dyDescent="0.35">
      <c r="E13" s="20"/>
      <c r="F13" s="20"/>
      <c r="G13" s="20"/>
      <c r="H13" s="20"/>
      <c r="I13" s="20"/>
      <c r="J13" s="20"/>
      <c r="K13" s="20"/>
    </row>
    <row r="14" spans="3:11" ht="27" x14ac:dyDescent="0.35">
      <c r="E14" s="20"/>
      <c r="F14" s="20"/>
      <c r="G14" s="20"/>
      <c r="H14" s="20"/>
      <c r="I14" s="20"/>
      <c r="J14" s="20"/>
      <c r="K14" s="20"/>
    </row>
    <row r="15" spans="3:11" ht="27" x14ac:dyDescent="0.35">
      <c r="E15" s="20"/>
      <c r="F15" s="20"/>
      <c r="G15" s="20"/>
      <c r="H15" s="20"/>
      <c r="I15" s="20"/>
      <c r="J15" s="20"/>
      <c r="K15" s="2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6F682-02F8-2D43-B16A-E43EF36E3A8F}">
  <dimension ref="A3:N13"/>
  <sheetViews>
    <sheetView topLeftCell="A14" zoomScale="124" zoomScaleNormal="124" workbookViewId="0">
      <selection activeCell="A8" sqref="A8:XFD8"/>
    </sheetView>
  </sheetViews>
  <sheetFormatPr baseColWidth="10" defaultRowHeight="16" x14ac:dyDescent="0.2"/>
  <cols>
    <col min="1" max="1" width="23.5" customWidth="1"/>
    <col min="2" max="2" width="28.1640625" customWidth="1"/>
    <col min="13" max="13" width="17.83203125" customWidth="1"/>
    <col min="14" max="14" width="45.83203125" customWidth="1"/>
  </cols>
  <sheetData>
    <row r="3" spans="1:14" ht="27" x14ac:dyDescent="0.35">
      <c r="A3" s="9" t="s">
        <v>66</v>
      </c>
      <c r="M3" s="7" t="s">
        <v>60</v>
      </c>
    </row>
    <row r="4" spans="1:14" ht="42" x14ac:dyDescent="0.35">
      <c r="A4" s="9"/>
      <c r="M4" s="12" t="s">
        <v>61</v>
      </c>
      <c r="N4" s="13" t="s">
        <v>64</v>
      </c>
    </row>
    <row r="5" spans="1:14" ht="40" x14ac:dyDescent="0.25">
      <c r="M5" s="12" t="s">
        <v>62</v>
      </c>
      <c r="N5" s="14" t="s">
        <v>69</v>
      </c>
    </row>
    <row r="6" spans="1:14" ht="41" x14ac:dyDescent="0.3">
      <c r="A6" s="10" t="s">
        <v>51</v>
      </c>
      <c r="B6" s="11" t="s">
        <v>52</v>
      </c>
      <c r="M6" s="12" t="s">
        <v>63</v>
      </c>
      <c r="N6" s="14" t="s">
        <v>65</v>
      </c>
    </row>
    <row r="7" spans="1:14" x14ac:dyDescent="0.2">
      <c r="A7" t="s">
        <v>45</v>
      </c>
      <c r="B7" s="2">
        <f>COUNTA(RawData[StaffID])</f>
        <v>120</v>
      </c>
    </row>
    <row r="8" spans="1:14" x14ac:dyDescent="0.2">
      <c r="A8" t="s">
        <v>46</v>
      </c>
      <c r="B8">
        <f>COUNTIF(RawData[RiskFlag],"At Risk")</f>
        <v>68</v>
      </c>
    </row>
    <row r="9" spans="1:14" x14ac:dyDescent="0.2">
      <c r="A9" t="s">
        <v>47</v>
      </c>
      <c r="B9">
        <f>SUM(RawData[OvertimeHours])</f>
        <v>870</v>
      </c>
    </row>
    <row r="10" spans="1:14" x14ac:dyDescent="0.2">
      <c r="A10" t="s">
        <v>48</v>
      </c>
      <c r="B10">
        <f>AVERAGE(RawData[AbsenceDays])</f>
        <v>2.6916666666666669</v>
      </c>
    </row>
    <row r="11" spans="1:14" x14ac:dyDescent="0.2">
      <c r="A11" t="s">
        <v>49</v>
      </c>
      <c r="B11">
        <f>COUNTIF(RawData[OvertimeLevel],"High")</f>
        <v>38</v>
      </c>
    </row>
    <row r="12" spans="1:14" x14ac:dyDescent="0.2">
      <c r="A12" t="s">
        <v>53</v>
      </c>
      <c r="B12">
        <f>AVERAGE(RawData[HoursWorked_Clean])</f>
        <v>45.8</v>
      </c>
    </row>
    <row r="13" spans="1:14" x14ac:dyDescent="0.2">
      <c r="A13" t="s">
        <v>50</v>
      </c>
      <c r="B13" s="3">
        <f>COUNTIF(RawData[RiskFlag],"At Risk") / COUNTA(RawData[StaffID])</f>
        <v>0.56666666666666665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A3808A-41D7-0F41-B3D8-91B5BAEB26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Pivot_Role</vt:lpstr>
      <vt:lpstr>Pivot_Overtime</vt:lpstr>
      <vt:lpstr>Pivot_Overtime_Level</vt:lpstr>
      <vt:lpstr>RawData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 Edema</dc:creator>
  <cp:lastModifiedBy>Vivian Edema</cp:lastModifiedBy>
  <dcterms:created xsi:type="dcterms:W3CDTF">2026-02-07T20:37:33Z</dcterms:created>
  <dcterms:modified xsi:type="dcterms:W3CDTF">2026-02-15T02:23:16Z</dcterms:modified>
</cp:coreProperties>
</file>